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OneDrive\Desktop\Programming\Data Analytics\Hospital_Analytics\"/>
    </mc:Choice>
  </mc:AlternateContent>
  <xr:revisionPtr revIDLastSave="0" documentId="13_ncr:1_{B8D7CD7D-9CE8-4124-954A-F0AA55794CDC}" xr6:coauthVersionLast="47" xr6:coauthVersionMax="47" xr10:uidLastSave="{00000000-0000-0000-0000-000000000000}"/>
  <bookViews>
    <workbookView xWindow="-108" yWindow="-108" windowWidth="23256" windowHeight="12456" activeTab="1" xr2:uid="{BAD72725-265F-47B0-AAC4-4386A12C41F2}"/>
  </bookViews>
  <sheets>
    <sheet name="Data" sheetId="1" r:id="rId1"/>
    <sheet name="Dashboard" sheetId="2" r:id="rId2"/>
  </sheets>
  <definedNames>
    <definedName name="Slicer_Date__Month">#N/A</definedName>
    <definedName name="Slicer_Date__Year">#N/A</definedName>
  </definedNames>
  <calcPr calcId="191029"/>
  <pivotCaches>
    <pivotCache cacheId="97" r:id="rId3"/>
    <pivotCache cacheId="100" r:id="rId4"/>
    <pivotCache cacheId="103" r:id="rId5"/>
    <pivotCache cacheId="106" r:id="rId6"/>
    <pivotCache cacheId="109" r:id="rId7"/>
    <pivotCache cacheId="112" r:id="rId8"/>
    <pivotCache cacheId="115" r:id="rId9"/>
    <pivotCache cacheId="118" r:id="rId10"/>
    <pivotCache cacheId="121" r:id="rId11"/>
    <pivotCache cacheId="124" r:id="rId12"/>
    <pivotCache cacheId="127" r:id="rId13"/>
    <pivotCache cacheId="133" r:id="rId14"/>
    <pivotCache cacheId="139" r:id="rId15"/>
  </pivotCaches>
  <extLst>
    <ext xmlns:x14="http://schemas.microsoft.com/office/spreadsheetml/2009/9/main" uri="{876F7934-8845-4945-9796-88D515C7AA90}">
      <x14:pivotCaches>
        <pivotCache cacheId="96"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w Data_70163b10-c9f2-4739-8967-82e5deb60840" name="Raw Data" connection="Query - Raw Data"/>
          <x15:modelTable id="Date_595fe9f1-473e-46f8-ad80-6e96d4b01659" name="Date" connection="Query - Date"/>
        </x15:modelTables>
        <x15:modelRelationships>
          <x15:modelRelationship fromTable="Raw Data" fromColumn="Admission_Date" toTable="Date" toColumn="Date"/>
        </x15:modelRelationships>
        <x15:extLst>
          <ext xmlns:x16="http://schemas.microsoft.com/office/spreadsheetml/2014/11/main" uri="{9835A34E-60A6-4A7C-AAB8-D5F71C897F49}">
            <x16:modelTimeGroupings>
              <x16:modelTimeGrouping tableName="Dat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alcChain.xml><?xml version="1.0" encoding="utf-8"?>
<calcChain xmlns="http://schemas.openxmlformats.org/spreadsheetml/2006/main">
  <c r="B25" i="1" l="1"/>
  <c r="C25" i="1"/>
  <c r="B26" i="1"/>
  <c r="C26" i="1"/>
  <c r="B27" i="1"/>
  <c r="C27" i="1"/>
  <c r="A26" i="1"/>
  <c r="A27" i="1"/>
  <c r="A25" i="1"/>
  <c r="B8" i="1"/>
  <c r="B5" i="1"/>
  <c r="B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C11D17-3100-4563-8B93-04256D143C9E}" name="Query - Date" description="Connection to the 'Date' query in the workbook." type="100" refreshedVersion="8" minRefreshableVersion="5">
    <extLst>
      <ext xmlns:x15="http://schemas.microsoft.com/office/spreadsheetml/2010/11/main" uri="{DE250136-89BD-433C-8126-D09CA5730AF9}">
        <x15:connection id="09a6e4f5-3a72-489d-a36a-3e4600cb7698"/>
      </ext>
    </extLst>
  </connection>
  <connection id="2" xr16:uid="{4E6E1805-CB22-4256-BB1D-6A864D5FC564}" name="Query - Raw Data" description="Connection to the 'Raw Data' query in the workbook." type="100" refreshedVersion="8" minRefreshableVersion="5">
    <extLst>
      <ext xmlns:x15="http://schemas.microsoft.com/office/spreadsheetml/2010/11/main" uri="{DE250136-89BD-433C-8126-D09CA5730AF9}">
        <x15:connection id="661c5373-fba2-4ad4-b269-7203e93d9062"/>
      </ext>
    </extLst>
  </connection>
  <connection id="3" xr16:uid="{0FEF2EC2-1323-4D95-B7E2-2878E903D31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<sst xmlns="http://schemas.openxmlformats.org/spreadsheetml/2006/main" count="65" uniqueCount="43">
  <si>
    <t>No. of Patients</t>
  </si>
  <si>
    <t>Grand Total</t>
  </si>
  <si>
    <t>2024</t>
  </si>
  <si>
    <t>Dates</t>
  </si>
  <si>
    <t>2025</t>
  </si>
  <si>
    <t>Final</t>
  </si>
  <si>
    <t>Avg Wait_Time</t>
  </si>
  <si>
    <t>Avg Satisfaction Score</t>
  </si>
  <si>
    <t>Count Patient_ID</t>
  </si>
  <si>
    <t>Admitted</t>
  </si>
  <si>
    <t>Not Admitted</t>
  </si>
  <si>
    <t>Status %</t>
  </si>
  <si>
    <t>Admission Status</t>
  </si>
  <si>
    <t>Patient</t>
  </si>
  <si>
    <t>0-12</t>
  </si>
  <si>
    <t>13-25</t>
  </si>
  <si>
    <t>26-40</t>
  </si>
  <si>
    <t>41-65</t>
  </si>
  <si>
    <t>66-85</t>
  </si>
  <si>
    <t>85+</t>
  </si>
  <si>
    <t>Count</t>
  </si>
  <si>
    <t>Delay</t>
  </si>
  <si>
    <t>On-Time</t>
  </si>
  <si>
    <t>Attend Time</t>
  </si>
  <si>
    <t>Gender</t>
  </si>
  <si>
    <t>Female</t>
  </si>
  <si>
    <t>Male</t>
  </si>
  <si>
    <t>Cardiology</t>
  </si>
  <si>
    <t>Dermatology</t>
  </si>
  <si>
    <t>Emergency</t>
  </si>
  <si>
    <t>ENT</t>
  </si>
  <si>
    <t>General Medicine</t>
  </si>
  <si>
    <t>Gynecology</t>
  </si>
  <si>
    <t>Nephrology</t>
  </si>
  <si>
    <t>Neurology</t>
  </si>
  <si>
    <t>Oncology</t>
  </si>
  <si>
    <t>Orthopedics</t>
  </si>
  <si>
    <t>Pediatrics</t>
  </si>
  <si>
    <t>Psychiatry</t>
  </si>
  <si>
    <t>Pulmonology</t>
  </si>
  <si>
    <t>Urology</t>
  </si>
  <si>
    <t>Department</t>
  </si>
  <si>
    <t>Self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</si>
</sst>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2"/>
      <color theme="1"/>
      <name val="Aptos"/>
      <family val="2"/>
    </font>
    <font>
      <sz val="12"/>
      <color rgb="FFFF0000"/>
      <name val="Aptos"/>
      <family val="2"/>
    </font>
    <font>
      <b/>
      <sz val="12"/>
      <color theme="1"/>
      <name val="Aptos"/>
      <family val="2"/>
    </font>
    <font>
      <sz val="12"/>
      <color theme="1"/>
      <name val="Aptos"/>
      <family val="2"/>
    </font>
    <font>
      <sz val="12"/>
      <color theme="9" tint="0.79998168889431442"/>
      <name val="Aptos"/>
      <family val="2"/>
    </font>
  </fonts>
  <fills count="4">
    <fill>
      <patternFill patternType="none"/>
    </fill>
    <fill>
      <patternFill patternType="gray125"/>
    </fill>
    <fill>
      <patternFill patternType="solid">
        <fgColor theme="9" tint="0.59999389629810485"/>
        <bgColor indexed="64"/>
      </patternFill>
    </fill>
    <fill>
      <patternFill patternType="solid">
        <fgColor theme="9" tint="-0.249977111117893"/>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18">
    <xf numFmtId="0" fontId="0" fillId="0" borderId="0" xfId="0"/>
    <xf numFmtId="2" fontId="0" fillId="0" borderId="0" xfId="0" applyNumberFormat="1"/>
    <xf numFmtId="0" fontId="0" fillId="0" borderId="0" xfId="0" pivotButton="1"/>
    <xf numFmtId="0" fontId="0" fillId="0" borderId="0" xfId="0" applyAlignment="1">
      <alignment horizontal="left"/>
    </xf>
    <xf numFmtId="0" fontId="2" fillId="0" borderId="0" xfId="0" applyFont="1"/>
    <xf numFmtId="14" fontId="0" fillId="0" borderId="0" xfId="0" applyNumberFormat="1" applyAlignment="1">
      <alignment horizontal="left"/>
    </xf>
    <xf numFmtId="0" fontId="1" fillId="2" borderId="0" xfId="0" applyFont="1" applyFill="1"/>
    <xf numFmtId="0" fontId="2" fillId="3" borderId="0" xfId="0" applyFont="1" applyFill="1" applyAlignment="1">
      <alignment horizontal="center"/>
    </xf>
    <xf numFmtId="0" fontId="0" fillId="3" borderId="0" xfId="0" applyFill="1" applyAlignment="1">
      <alignment horizontal="center"/>
    </xf>
    <xf numFmtId="0" fontId="4" fillId="3" borderId="0" xfId="0" applyFont="1" applyFill="1" applyAlignment="1">
      <alignment horizontal="center"/>
    </xf>
    <xf numFmtId="10" fontId="4" fillId="3" borderId="0" xfId="1" applyNumberFormat="1" applyFont="1" applyFill="1" applyAlignment="1">
      <alignment horizontal="center"/>
    </xf>
    <xf numFmtId="0" fontId="2" fillId="3" borderId="0" xfId="0" applyFont="1" applyFill="1" applyAlignment="1">
      <alignment horizontal="left"/>
    </xf>
    <xf numFmtId="0" fontId="0" fillId="3" borderId="0" xfId="0" applyFill="1" applyAlignment="1">
      <alignment horizontal="left"/>
    </xf>
    <xf numFmtId="9" fontId="0" fillId="0" borderId="0" xfId="0" applyNumberFormat="1"/>
    <xf numFmtId="0" fontId="0" fillId="2" borderId="0" xfId="0" applyFill="1"/>
    <xf numFmtId="0" fontId="0" fillId="0" borderId="0" xfId="0" applyNumberFormat="1"/>
    <xf numFmtId="0" fontId="0" fillId="0" borderId="0" xfId="0" pivotButton="1" applyNumberFormat="1"/>
    <xf numFmtId="0" fontId="0" fillId="0" borderId="0" xfId="0" applyNumberFormat="1" applyAlignment="1">
      <alignment horizontal="left"/>
    </xf>
  </cellXfs>
  <cellStyles count="2">
    <cellStyle name="Normal" xfId="0" builtinId="0"/>
    <cellStyle name="Percent" xfId="1" builtinId="5"/>
  </cellStyles>
  <dxfs count="10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3" formatCode="0%"/>
    </dxf>
    <dxf>
      <numFmt numFmtId="2" formatCode="0.00"/>
    </dxf>
    <dxf>
      <numFmt numFmtId="2" formatCode="0.00"/>
    </dxf>
    <dxf>
      <numFmt numFmtId="14" formatCode="0.00%"/>
    </dxf>
    <dxf>
      <numFmt numFmtId="13" formatCode="0%"/>
    </dxf>
    <dxf>
      <numFmt numFmtId="14" formatCode="0.0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3" formatCode="0%"/>
    </dxf>
    <dxf>
      <numFmt numFmtId="2" formatCode="0.00"/>
    </dxf>
    <dxf>
      <numFmt numFmtId="2" formatCode="0.00"/>
    </dxf>
    <dxf>
      <numFmt numFmtId="14" formatCode="0.00%"/>
    </dxf>
    <dxf>
      <numFmt numFmtId="13" formatCode="0%"/>
    </dxf>
    <dxf>
      <numFmt numFmtId="14" formatCode="0.00%"/>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3" formatCode="0%"/>
    </dxf>
    <dxf>
      <numFmt numFmtId="2" formatCode="0.00"/>
    </dxf>
    <dxf>
      <numFmt numFmtId="2" formatCode="0.00"/>
    </dxf>
    <dxf>
      <numFmt numFmtId="14" formatCode="0.00%"/>
    </dxf>
    <dxf>
      <numFmt numFmtId="13" formatCode="0%"/>
    </dxf>
    <dxf>
      <numFmt numFmtId="14" formatCode="0.0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3" formatCode="0%"/>
    </dxf>
    <dxf>
      <numFmt numFmtId="14" formatCode="0.00%"/>
    </dxf>
    <dxf>
      <numFmt numFmtId="2" formatCode="0.00"/>
    </dxf>
    <dxf>
      <numFmt numFmtId="2" formatCode="0.00"/>
    </dxf>
    <dxf>
      <numFmt numFmtId="2" formatCode="0.00"/>
    </dxf>
    <dxf>
      <numFmt numFmtId="13" formatCode="0%"/>
    </dxf>
    <dxf>
      <numFmt numFmtId="14" formatCode="0.00%"/>
    </dxf>
    <dxf>
      <numFmt numFmtId="2" formatCode="0.00"/>
    </dxf>
    <dxf>
      <numFmt numFmtId="2" formatCode="0.00"/>
    </dxf>
    <dxf>
      <numFmt numFmtId="2" formatCode="0.00"/>
    </dxf>
    <dxf>
      <numFmt numFmtId="2" formatCode="0.00"/>
    </dxf>
    <dxf>
      <numFmt numFmtId="13" formatCode="0%"/>
    </dxf>
    <dxf>
      <numFmt numFmtId="14" formatCode="0.00%"/>
    </dxf>
    <dxf>
      <numFmt numFmtId="2" formatCode="0.00"/>
    </dxf>
    <dxf>
      <font>
        <b/>
        <color theme="1"/>
      </font>
      <border>
        <bottom style="thin">
          <color theme="9"/>
        </bottom>
        <vertical/>
        <horizontal/>
      </border>
    </dxf>
    <dxf>
      <font>
        <color theme="9" tint="0.79998168889431442"/>
      </font>
      <fill>
        <patternFill patternType="solid">
          <fgColor theme="9" tint="-0.499984740745262"/>
          <bgColor theme="9" tint="-0.499984740745262"/>
        </patternFill>
      </fill>
      <border diagonalUp="0" diagonalDown="0">
        <left/>
        <right/>
        <top/>
        <bottom/>
        <vertical/>
        <horizontal/>
      </border>
    </dxf>
  </dxfs>
  <tableStyles count="1" defaultTableStyle="TableStyleMedium2" defaultPivotStyle="PivotStyleLight16">
    <tableStyle name="Slicer 1" pivot="0" table="0" count="10" xr9:uid="{E7DF89C0-DB6B-4054-963F-3E4D8653612A}">
      <tableStyleElement type="wholeTable" dxfId="105"/>
      <tableStyleElement type="headerRow" dxfId="104"/>
    </tableStyle>
  </tableStyles>
  <extLst>
    <ext xmlns:x14="http://schemas.microsoft.com/office/spreadsheetml/2009/9/main" uri="{46F421CA-312F-682f-3DD2-61675219B42D}">
      <x14:dxfs count="8">
        <dxf>
          <font>
            <color auto="1"/>
          </font>
          <fill>
            <patternFill patternType="solid">
              <fgColor auto="1"/>
              <bgColor theme="9" tint="0.59996337778862885"/>
            </patternFill>
          </fill>
          <border diagonalUp="0" diagonalDown="0">
            <left/>
            <right/>
            <top/>
            <bottom/>
            <vertical/>
            <horizontal/>
          </border>
        </dxf>
        <dxf>
          <font>
            <color auto="1"/>
          </font>
          <fill>
            <patternFill patternType="solid">
              <fgColor auto="1"/>
              <bgColor theme="9" tint="0.59996337778862885"/>
            </patternFill>
          </fill>
          <border diagonalUp="0" diagonalDown="0">
            <left/>
            <right/>
            <top/>
            <bottom/>
            <vertical/>
            <horizontal/>
          </border>
        </dxf>
        <dxf>
          <font>
            <color auto="1"/>
          </font>
          <fill>
            <patternFill patternType="solid">
              <fgColor auto="1"/>
              <bgColor theme="9" tint="0.79998168889431442"/>
            </patternFill>
          </fill>
          <border diagonalUp="0" diagonalDown="0">
            <left/>
            <right/>
            <top/>
            <bottom/>
            <vertical/>
            <horizontal/>
          </border>
        </dxf>
        <dxf>
          <font>
            <color auto="1"/>
          </font>
          <fill>
            <patternFill patternType="solid">
              <fgColor auto="1"/>
              <bgColor theme="9" tint="0.59996337778862885"/>
            </patternFill>
          </fill>
          <border diagonalUp="0" diagonalDown="0">
            <left/>
            <right/>
            <top/>
            <bottom/>
            <vertical/>
            <horizontal/>
          </border>
        </dxf>
        <dxf>
          <font>
            <color auto="1"/>
          </font>
          <fill>
            <patternFill patternType="solid">
              <fgColor theme="9" tint="0.59999389629810485"/>
              <bgColor theme="9" tint="0.39994506668294322"/>
            </patternFill>
          </fill>
          <border diagonalUp="0" diagonalDown="0">
            <left/>
            <right/>
            <top/>
            <bottom/>
            <vertical/>
            <horizontal/>
          </border>
        </dxf>
        <dxf>
          <font>
            <color auto="1"/>
          </font>
          <fill>
            <patternFill patternType="solid">
              <fgColor theme="9"/>
              <bgColor theme="9" tint="0.39994506668294322"/>
            </patternFill>
          </fill>
          <border diagonalUp="0" diagonalDown="0">
            <left/>
            <right/>
            <top/>
            <bottom/>
            <vertical/>
            <horizontal/>
          </border>
        </dxf>
        <dxf>
          <font>
            <color theme="9" tint="0.79998168889431442"/>
          </font>
          <fill>
            <patternFill patternType="solid">
              <fgColor rgb="FFDFDFDF"/>
              <bgColor theme="9" tint="-0.24994659260841701"/>
            </patternFill>
          </fill>
          <border diagonalUp="0" diagonalDown="0">
            <left/>
            <right/>
            <top/>
            <bottom/>
            <vertical/>
            <horizontal/>
          </border>
        </dxf>
        <dxf>
          <font>
            <color theme="9" tint="0.79998168889431442"/>
          </font>
          <fill>
            <patternFill patternType="solid">
              <fgColor theme="0" tint="-0.14993743705557422"/>
              <bgColor theme="9" tint="-0.2499465926084170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microsoft.com/office/2007/relationships/slicerCache" Target="slicerCaches/slicer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8.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Dashboard.xlsx]Data!PivotTable5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Patients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843898300591214E-3"/>
          <c:y val="0.20097595559175793"/>
          <c:w val="0.99481561460335854"/>
          <c:h val="0.78787878787878785"/>
        </c:manualLayout>
      </c:layout>
      <c:areaChart>
        <c:grouping val="standard"/>
        <c:varyColors val="0"/>
        <c:ser>
          <c:idx val="0"/>
          <c:order val="0"/>
          <c:tx>
            <c:strRef>
              <c:f>Data!$M$1</c:f>
              <c:strCache>
                <c:ptCount val="1"/>
                <c:pt idx="0">
                  <c:v>Total</c:v>
                </c:pt>
              </c:strCache>
            </c:strRef>
          </c:tx>
          <c:spPr>
            <a:solidFill>
              <a:schemeClr val="accent6">
                <a:lumMod val="60000"/>
                <a:lumOff val="40000"/>
              </a:schemeClr>
            </a:solidFill>
            <a:ln>
              <a:solidFill>
                <a:schemeClr val="accent6">
                  <a:lumMod val="60000"/>
                  <a:lumOff val="40000"/>
                </a:schemeClr>
              </a:solidFill>
            </a:ln>
            <a:effectLst/>
          </c:spPr>
          <c:cat>
            <c:strRef>
              <c:f>Data!$L$2:$L$246</c:f>
              <c:strCache>
                <c:ptCount val="244"/>
                <c:pt idx="0">
                  <c:v>01-01-2024</c:v>
                </c:pt>
                <c:pt idx="1">
                  <c:v>03-01-2024</c:v>
                </c:pt>
                <c:pt idx="2">
                  <c:v>08-01-2024</c:v>
                </c:pt>
                <c:pt idx="3">
                  <c:v>13-01-2024</c:v>
                </c:pt>
                <c:pt idx="4">
                  <c:v>15-01-2024</c:v>
                </c:pt>
                <c:pt idx="5">
                  <c:v>21-01-2024</c:v>
                </c:pt>
                <c:pt idx="6">
                  <c:v>31-01-2024</c:v>
                </c:pt>
                <c:pt idx="7">
                  <c:v>28-02-2024</c:v>
                </c:pt>
                <c:pt idx="8">
                  <c:v>03-03-2024</c:v>
                </c:pt>
                <c:pt idx="9">
                  <c:v>06-03-2024</c:v>
                </c:pt>
                <c:pt idx="10">
                  <c:v>08-03-2024</c:v>
                </c:pt>
                <c:pt idx="11">
                  <c:v>13-03-2024</c:v>
                </c:pt>
                <c:pt idx="12">
                  <c:v>14-03-2024</c:v>
                </c:pt>
                <c:pt idx="13">
                  <c:v>17-03-2024</c:v>
                </c:pt>
                <c:pt idx="14">
                  <c:v>19-03-2024</c:v>
                </c:pt>
                <c:pt idx="15">
                  <c:v>21-03-2024</c:v>
                </c:pt>
                <c:pt idx="16">
                  <c:v>22-03-2024</c:v>
                </c:pt>
                <c:pt idx="17">
                  <c:v>24-03-2024</c:v>
                </c:pt>
                <c:pt idx="18">
                  <c:v>25-03-2024</c:v>
                </c:pt>
                <c:pt idx="19">
                  <c:v>26-03-2024</c:v>
                </c:pt>
                <c:pt idx="20">
                  <c:v>27-03-2024</c:v>
                </c:pt>
                <c:pt idx="21">
                  <c:v>28-03-2024</c:v>
                </c:pt>
                <c:pt idx="22">
                  <c:v>29-03-2024</c:v>
                </c:pt>
                <c:pt idx="23">
                  <c:v>31-03-2024</c:v>
                </c:pt>
                <c:pt idx="24">
                  <c:v>03-04-2024</c:v>
                </c:pt>
                <c:pt idx="25">
                  <c:v>04-04-2024</c:v>
                </c:pt>
                <c:pt idx="26">
                  <c:v>13-04-2024</c:v>
                </c:pt>
                <c:pt idx="27">
                  <c:v>23-04-2024</c:v>
                </c:pt>
                <c:pt idx="28">
                  <c:v>25-04-2024</c:v>
                </c:pt>
                <c:pt idx="29">
                  <c:v>27-04-2024</c:v>
                </c:pt>
                <c:pt idx="30">
                  <c:v>03-05-2024</c:v>
                </c:pt>
                <c:pt idx="31">
                  <c:v>08-05-2024</c:v>
                </c:pt>
                <c:pt idx="32">
                  <c:v>13-05-2024</c:v>
                </c:pt>
                <c:pt idx="33">
                  <c:v>14-05-2024</c:v>
                </c:pt>
                <c:pt idx="34">
                  <c:v>17-05-2024</c:v>
                </c:pt>
                <c:pt idx="35">
                  <c:v>19-05-2024</c:v>
                </c:pt>
                <c:pt idx="36">
                  <c:v>21-05-2024</c:v>
                </c:pt>
                <c:pt idx="37">
                  <c:v>24-05-2024</c:v>
                </c:pt>
                <c:pt idx="38">
                  <c:v>25-05-2024</c:v>
                </c:pt>
                <c:pt idx="39">
                  <c:v>26-05-2024</c:v>
                </c:pt>
                <c:pt idx="40">
                  <c:v>27-05-2024</c:v>
                </c:pt>
                <c:pt idx="41">
                  <c:v>28-05-2024</c:v>
                </c:pt>
                <c:pt idx="42">
                  <c:v>29-05-2024</c:v>
                </c:pt>
                <c:pt idx="43">
                  <c:v>31-05-2024</c:v>
                </c:pt>
                <c:pt idx="44">
                  <c:v>03-06-2024</c:v>
                </c:pt>
                <c:pt idx="45">
                  <c:v>08-06-2024</c:v>
                </c:pt>
                <c:pt idx="46">
                  <c:v>13-06-2024</c:v>
                </c:pt>
                <c:pt idx="47">
                  <c:v>14-06-2024</c:v>
                </c:pt>
                <c:pt idx="48">
                  <c:v>17-06-2024</c:v>
                </c:pt>
                <c:pt idx="49">
                  <c:v>19-06-2024</c:v>
                </c:pt>
                <c:pt idx="50">
                  <c:v>21-06-2024</c:v>
                </c:pt>
                <c:pt idx="51">
                  <c:v>24-06-2024</c:v>
                </c:pt>
                <c:pt idx="52">
                  <c:v>25-06-2024</c:v>
                </c:pt>
                <c:pt idx="53">
                  <c:v>26-06-2024</c:v>
                </c:pt>
                <c:pt idx="54">
                  <c:v>27-06-2024</c:v>
                </c:pt>
                <c:pt idx="55">
                  <c:v>28-06-2024</c:v>
                </c:pt>
                <c:pt idx="56">
                  <c:v>29-06-2024</c:v>
                </c:pt>
                <c:pt idx="57">
                  <c:v>17-07-2024</c:v>
                </c:pt>
                <c:pt idx="58">
                  <c:v>19-07-2024</c:v>
                </c:pt>
                <c:pt idx="59">
                  <c:v>26-07-2024</c:v>
                </c:pt>
                <c:pt idx="60">
                  <c:v>29-07-2024</c:v>
                </c:pt>
                <c:pt idx="61">
                  <c:v>03-08-2024</c:v>
                </c:pt>
                <c:pt idx="62">
                  <c:v>07-08-2024</c:v>
                </c:pt>
                <c:pt idx="63">
                  <c:v>08-08-2024</c:v>
                </c:pt>
                <c:pt idx="64">
                  <c:v>13-08-2024</c:v>
                </c:pt>
                <c:pt idx="65">
                  <c:v>14-08-2024</c:v>
                </c:pt>
                <c:pt idx="66">
                  <c:v>17-08-2024</c:v>
                </c:pt>
                <c:pt idx="67">
                  <c:v>19-08-2024</c:v>
                </c:pt>
                <c:pt idx="68">
                  <c:v>21-08-2024</c:v>
                </c:pt>
                <c:pt idx="69">
                  <c:v>24-08-2024</c:v>
                </c:pt>
                <c:pt idx="70">
                  <c:v>25-08-2024</c:v>
                </c:pt>
                <c:pt idx="71">
                  <c:v>26-08-2024</c:v>
                </c:pt>
                <c:pt idx="72">
                  <c:v>27-08-2024</c:v>
                </c:pt>
                <c:pt idx="73">
                  <c:v>28-08-2024</c:v>
                </c:pt>
                <c:pt idx="74">
                  <c:v>29-08-2024</c:v>
                </c:pt>
                <c:pt idx="75">
                  <c:v>30-08-2024</c:v>
                </c:pt>
                <c:pt idx="76">
                  <c:v>31-08-2024</c:v>
                </c:pt>
                <c:pt idx="77">
                  <c:v>03-09-2024</c:v>
                </c:pt>
                <c:pt idx="78">
                  <c:v>08-09-2024</c:v>
                </c:pt>
                <c:pt idx="79">
                  <c:v>13-09-2024</c:v>
                </c:pt>
                <c:pt idx="80">
                  <c:v>14-09-2024</c:v>
                </c:pt>
                <c:pt idx="81">
                  <c:v>19-09-2024</c:v>
                </c:pt>
                <c:pt idx="82">
                  <c:v>21-09-2024</c:v>
                </c:pt>
                <c:pt idx="83">
                  <c:v>24-09-2024</c:v>
                </c:pt>
                <c:pt idx="84">
                  <c:v>25-09-2024</c:v>
                </c:pt>
                <c:pt idx="85">
                  <c:v>27-09-2024</c:v>
                </c:pt>
                <c:pt idx="86">
                  <c:v>28-09-2024</c:v>
                </c:pt>
                <c:pt idx="87">
                  <c:v>29-09-2024</c:v>
                </c:pt>
                <c:pt idx="88">
                  <c:v>03-10-2024</c:v>
                </c:pt>
                <c:pt idx="89">
                  <c:v>08-10-2024</c:v>
                </c:pt>
                <c:pt idx="90">
                  <c:v>09-10-2024</c:v>
                </c:pt>
                <c:pt idx="91">
                  <c:v>13-10-2024</c:v>
                </c:pt>
                <c:pt idx="92">
                  <c:v>14-10-2024</c:v>
                </c:pt>
                <c:pt idx="93">
                  <c:v>17-10-2024</c:v>
                </c:pt>
                <c:pt idx="94">
                  <c:v>19-10-2024</c:v>
                </c:pt>
                <c:pt idx="95">
                  <c:v>24-10-2024</c:v>
                </c:pt>
                <c:pt idx="96">
                  <c:v>25-10-2024</c:v>
                </c:pt>
                <c:pt idx="97">
                  <c:v>26-10-2024</c:v>
                </c:pt>
                <c:pt idx="98">
                  <c:v>27-10-2024</c:v>
                </c:pt>
                <c:pt idx="99">
                  <c:v>28-10-2024</c:v>
                </c:pt>
                <c:pt idx="100">
                  <c:v>29-10-2024</c:v>
                </c:pt>
                <c:pt idx="101">
                  <c:v>31-10-2024</c:v>
                </c:pt>
                <c:pt idx="102">
                  <c:v>14-11-2024</c:v>
                </c:pt>
                <c:pt idx="103">
                  <c:v>02-12-2024</c:v>
                </c:pt>
                <c:pt idx="104">
                  <c:v>03-12-2024</c:v>
                </c:pt>
                <c:pt idx="105">
                  <c:v>08-12-2024</c:v>
                </c:pt>
                <c:pt idx="106">
                  <c:v>09-12-2024</c:v>
                </c:pt>
                <c:pt idx="107">
                  <c:v>11-12-2024</c:v>
                </c:pt>
                <c:pt idx="108">
                  <c:v>13-12-2024</c:v>
                </c:pt>
                <c:pt idx="109">
                  <c:v>14-12-2024</c:v>
                </c:pt>
                <c:pt idx="110">
                  <c:v>17-12-2024</c:v>
                </c:pt>
                <c:pt idx="111">
                  <c:v>19-12-2024</c:v>
                </c:pt>
                <c:pt idx="112">
                  <c:v>21-12-2024</c:v>
                </c:pt>
                <c:pt idx="113">
                  <c:v>24-12-2024</c:v>
                </c:pt>
                <c:pt idx="114">
                  <c:v>25-12-2024</c:v>
                </c:pt>
                <c:pt idx="115">
                  <c:v>26-12-2024</c:v>
                </c:pt>
                <c:pt idx="116">
                  <c:v>27-12-2024</c:v>
                </c:pt>
                <c:pt idx="117">
                  <c:v>28-12-2024</c:v>
                </c:pt>
                <c:pt idx="118">
                  <c:v>29-12-2024</c:v>
                </c:pt>
                <c:pt idx="119">
                  <c:v>31-12-2024</c:v>
                </c:pt>
                <c:pt idx="120">
                  <c:v>04-01-2025</c:v>
                </c:pt>
                <c:pt idx="121">
                  <c:v>06-01-2025</c:v>
                </c:pt>
                <c:pt idx="122">
                  <c:v>07-01-2025</c:v>
                </c:pt>
                <c:pt idx="123">
                  <c:v>11-01-2025</c:v>
                </c:pt>
                <c:pt idx="124">
                  <c:v>12-01-2025</c:v>
                </c:pt>
                <c:pt idx="125">
                  <c:v>16-01-2025</c:v>
                </c:pt>
                <c:pt idx="126">
                  <c:v>17-01-2025</c:v>
                </c:pt>
                <c:pt idx="127">
                  <c:v>24-01-2025</c:v>
                </c:pt>
                <c:pt idx="128">
                  <c:v>30-01-2025</c:v>
                </c:pt>
                <c:pt idx="129">
                  <c:v>02-02-2025</c:v>
                </c:pt>
                <c:pt idx="130">
                  <c:v>03-02-2025</c:v>
                </c:pt>
                <c:pt idx="131">
                  <c:v>07-02-2025</c:v>
                </c:pt>
                <c:pt idx="132">
                  <c:v>09-02-2025</c:v>
                </c:pt>
                <c:pt idx="133">
                  <c:v>10-02-2025</c:v>
                </c:pt>
                <c:pt idx="134">
                  <c:v>11-02-2025</c:v>
                </c:pt>
                <c:pt idx="135">
                  <c:v>12-02-2025</c:v>
                </c:pt>
                <c:pt idx="136">
                  <c:v>15-02-2025</c:v>
                </c:pt>
                <c:pt idx="137">
                  <c:v>16-02-2025</c:v>
                </c:pt>
                <c:pt idx="138">
                  <c:v>18-02-2025</c:v>
                </c:pt>
                <c:pt idx="139">
                  <c:v>20-02-2025</c:v>
                </c:pt>
                <c:pt idx="140">
                  <c:v>22-02-2025</c:v>
                </c:pt>
                <c:pt idx="141">
                  <c:v>02-03-2025</c:v>
                </c:pt>
                <c:pt idx="142">
                  <c:v>07-03-2025</c:v>
                </c:pt>
                <c:pt idx="143">
                  <c:v>10-03-2025</c:v>
                </c:pt>
                <c:pt idx="144">
                  <c:v>11-03-2025</c:v>
                </c:pt>
                <c:pt idx="145">
                  <c:v>16-03-2025</c:v>
                </c:pt>
                <c:pt idx="146">
                  <c:v>02-04-2025</c:v>
                </c:pt>
                <c:pt idx="147">
                  <c:v>04-04-2025</c:v>
                </c:pt>
                <c:pt idx="148">
                  <c:v>06-04-2025</c:v>
                </c:pt>
                <c:pt idx="149">
                  <c:v>07-04-2025</c:v>
                </c:pt>
                <c:pt idx="150">
                  <c:v>09-04-2025</c:v>
                </c:pt>
                <c:pt idx="151">
                  <c:v>10-04-2025</c:v>
                </c:pt>
                <c:pt idx="152">
                  <c:v>11-04-2025</c:v>
                </c:pt>
                <c:pt idx="153">
                  <c:v>12-04-2025</c:v>
                </c:pt>
                <c:pt idx="154">
                  <c:v>15-04-2025</c:v>
                </c:pt>
                <c:pt idx="155">
                  <c:v>17-04-2025</c:v>
                </c:pt>
                <c:pt idx="156">
                  <c:v>18-04-2025</c:v>
                </c:pt>
                <c:pt idx="157">
                  <c:v>20-04-2025</c:v>
                </c:pt>
                <c:pt idx="158">
                  <c:v>22-04-2025</c:v>
                </c:pt>
                <c:pt idx="159">
                  <c:v>30-04-2025</c:v>
                </c:pt>
                <c:pt idx="160">
                  <c:v>02-05-2025</c:v>
                </c:pt>
                <c:pt idx="161">
                  <c:v>04-05-2025</c:v>
                </c:pt>
                <c:pt idx="162">
                  <c:v>05-05-2025</c:v>
                </c:pt>
                <c:pt idx="163">
                  <c:v>06-05-2025</c:v>
                </c:pt>
                <c:pt idx="164">
                  <c:v>09-05-2025</c:v>
                </c:pt>
                <c:pt idx="165">
                  <c:v>10-05-2025</c:v>
                </c:pt>
                <c:pt idx="166">
                  <c:v>12-05-2025</c:v>
                </c:pt>
                <c:pt idx="167">
                  <c:v>15-05-2025</c:v>
                </c:pt>
                <c:pt idx="168">
                  <c:v>16-05-2025</c:v>
                </c:pt>
                <c:pt idx="169">
                  <c:v>18-05-2025</c:v>
                </c:pt>
                <c:pt idx="170">
                  <c:v>20-05-2025</c:v>
                </c:pt>
                <c:pt idx="171">
                  <c:v>22-05-2025</c:v>
                </c:pt>
                <c:pt idx="172">
                  <c:v>30-05-2025</c:v>
                </c:pt>
                <c:pt idx="173">
                  <c:v>11-06-2025</c:v>
                </c:pt>
                <c:pt idx="174">
                  <c:v>16-06-2025</c:v>
                </c:pt>
                <c:pt idx="175">
                  <c:v>18-06-2025</c:v>
                </c:pt>
                <c:pt idx="176">
                  <c:v>20-06-2025</c:v>
                </c:pt>
                <c:pt idx="177">
                  <c:v>22-06-2025</c:v>
                </c:pt>
                <c:pt idx="178">
                  <c:v>27-06-2025</c:v>
                </c:pt>
                <c:pt idx="179">
                  <c:v>02-07-2025</c:v>
                </c:pt>
                <c:pt idx="180">
                  <c:v>04-07-2025</c:v>
                </c:pt>
                <c:pt idx="181">
                  <c:v>06-07-2025</c:v>
                </c:pt>
                <c:pt idx="182">
                  <c:v>07-07-2025</c:v>
                </c:pt>
                <c:pt idx="183">
                  <c:v>08-07-2025</c:v>
                </c:pt>
                <c:pt idx="184">
                  <c:v>09-07-2025</c:v>
                </c:pt>
                <c:pt idx="185">
                  <c:v>10-07-2025</c:v>
                </c:pt>
                <c:pt idx="186">
                  <c:v>11-07-2025</c:v>
                </c:pt>
                <c:pt idx="187">
                  <c:v>12-07-2025</c:v>
                </c:pt>
                <c:pt idx="188">
                  <c:v>15-07-2025</c:v>
                </c:pt>
                <c:pt idx="189">
                  <c:v>16-07-2025</c:v>
                </c:pt>
                <c:pt idx="190">
                  <c:v>18-07-2025</c:v>
                </c:pt>
                <c:pt idx="191">
                  <c:v>20-07-2025</c:v>
                </c:pt>
                <c:pt idx="192">
                  <c:v>22-07-2025</c:v>
                </c:pt>
                <c:pt idx="193">
                  <c:v>30-07-2025</c:v>
                </c:pt>
                <c:pt idx="194">
                  <c:v>31-07-2025</c:v>
                </c:pt>
                <c:pt idx="195">
                  <c:v>06-08-2025</c:v>
                </c:pt>
                <c:pt idx="196">
                  <c:v>18-08-2025</c:v>
                </c:pt>
                <c:pt idx="197">
                  <c:v>22-08-2025</c:v>
                </c:pt>
                <c:pt idx="198">
                  <c:v>02-09-2025</c:v>
                </c:pt>
                <c:pt idx="199">
                  <c:v>04-09-2025</c:v>
                </c:pt>
                <c:pt idx="200">
                  <c:v>06-09-2025</c:v>
                </c:pt>
                <c:pt idx="201">
                  <c:v>07-09-2025</c:v>
                </c:pt>
                <c:pt idx="202">
                  <c:v>09-09-2025</c:v>
                </c:pt>
                <c:pt idx="203">
                  <c:v>10-09-2025</c:v>
                </c:pt>
                <c:pt idx="204">
                  <c:v>11-09-2025</c:v>
                </c:pt>
                <c:pt idx="205">
                  <c:v>12-09-2025</c:v>
                </c:pt>
                <c:pt idx="206">
                  <c:v>15-09-2025</c:v>
                </c:pt>
                <c:pt idx="207">
                  <c:v>16-09-2025</c:v>
                </c:pt>
                <c:pt idx="208">
                  <c:v>18-09-2025</c:v>
                </c:pt>
                <c:pt idx="209">
                  <c:v>20-09-2025</c:v>
                </c:pt>
                <c:pt idx="210">
                  <c:v>22-09-2025</c:v>
                </c:pt>
                <c:pt idx="211">
                  <c:v>28-09-2025</c:v>
                </c:pt>
                <c:pt idx="212">
                  <c:v>30-09-2025</c:v>
                </c:pt>
                <c:pt idx="213">
                  <c:v>02-10-2025</c:v>
                </c:pt>
                <c:pt idx="214">
                  <c:v>04-10-2025</c:v>
                </c:pt>
                <c:pt idx="215">
                  <c:v>05-10-2025</c:v>
                </c:pt>
                <c:pt idx="216">
                  <c:v>06-10-2025</c:v>
                </c:pt>
                <c:pt idx="217">
                  <c:v>07-10-2025</c:v>
                </c:pt>
                <c:pt idx="218">
                  <c:v>09-10-2025</c:v>
                </c:pt>
                <c:pt idx="219">
                  <c:v>10-10-2025</c:v>
                </c:pt>
                <c:pt idx="220">
                  <c:v>11-10-2025</c:v>
                </c:pt>
                <c:pt idx="221">
                  <c:v>12-10-2025</c:v>
                </c:pt>
                <c:pt idx="222">
                  <c:v>15-10-2025</c:v>
                </c:pt>
                <c:pt idx="223">
                  <c:v>16-10-2025</c:v>
                </c:pt>
                <c:pt idx="224">
                  <c:v>18-10-2025</c:v>
                </c:pt>
                <c:pt idx="225">
                  <c:v>20-10-2025</c:v>
                </c:pt>
                <c:pt idx="226">
                  <c:v>22-10-2025</c:v>
                </c:pt>
                <c:pt idx="227">
                  <c:v>30-10-2025</c:v>
                </c:pt>
                <c:pt idx="228">
                  <c:v>02-11-2025</c:v>
                </c:pt>
                <c:pt idx="229">
                  <c:v>04-11-2025</c:v>
                </c:pt>
                <c:pt idx="230">
                  <c:v>06-11-2025</c:v>
                </c:pt>
                <c:pt idx="231">
                  <c:v>07-11-2025</c:v>
                </c:pt>
                <c:pt idx="232">
                  <c:v>09-11-2025</c:v>
                </c:pt>
                <c:pt idx="233">
                  <c:v>10-11-2025</c:v>
                </c:pt>
                <c:pt idx="234">
                  <c:v>11-11-2025</c:v>
                </c:pt>
                <c:pt idx="235">
                  <c:v>12-11-2025</c:v>
                </c:pt>
                <c:pt idx="236">
                  <c:v>15-11-2025</c:v>
                </c:pt>
                <c:pt idx="237">
                  <c:v>16-11-2025</c:v>
                </c:pt>
                <c:pt idx="238">
                  <c:v>18-11-2025</c:v>
                </c:pt>
                <c:pt idx="239">
                  <c:v>20-11-2025</c:v>
                </c:pt>
                <c:pt idx="240">
                  <c:v>21-11-2025</c:v>
                </c:pt>
                <c:pt idx="241">
                  <c:v>22-11-2025</c:v>
                </c:pt>
                <c:pt idx="242">
                  <c:v>25-11-2025</c:v>
                </c:pt>
                <c:pt idx="243">
                  <c:v>30-11-2025</c:v>
                </c:pt>
              </c:strCache>
            </c:strRef>
          </c:cat>
          <c:val>
            <c:numRef>
              <c:f>Data!$M$2:$M$246</c:f>
              <c:numCache>
                <c:formatCode>0.00</c:formatCode>
                <c:ptCount val="24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2</c:v>
                </c:pt>
                <c:pt idx="40">
                  <c:v>1</c:v>
                </c:pt>
                <c:pt idx="41">
                  <c:v>1</c:v>
                </c:pt>
                <c:pt idx="42">
                  <c:v>1</c:v>
                </c:pt>
                <c:pt idx="43">
                  <c:v>1</c:v>
                </c:pt>
                <c:pt idx="44">
                  <c:v>1</c:v>
                </c:pt>
                <c:pt idx="45">
                  <c:v>1</c:v>
                </c:pt>
                <c:pt idx="46">
                  <c:v>2</c:v>
                </c:pt>
                <c:pt idx="47">
                  <c:v>1</c:v>
                </c:pt>
                <c:pt idx="48">
                  <c:v>1</c:v>
                </c:pt>
                <c:pt idx="49">
                  <c:v>2</c:v>
                </c:pt>
                <c:pt idx="50">
                  <c:v>1</c:v>
                </c:pt>
                <c:pt idx="51">
                  <c:v>1</c:v>
                </c:pt>
                <c:pt idx="52">
                  <c:v>1</c:v>
                </c:pt>
                <c:pt idx="53">
                  <c:v>1</c:v>
                </c:pt>
                <c:pt idx="54">
                  <c:v>2</c:v>
                </c:pt>
                <c:pt idx="55">
                  <c:v>1</c:v>
                </c:pt>
                <c:pt idx="56">
                  <c:v>1</c:v>
                </c:pt>
                <c:pt idx="57">
                  <c:v>1</c:v>
                </c:pt>
                <c:pt idx="58">
                  <c:v>1</c:v>
                </c:pt>
                <c:pt idx="59">
                  <c:v>2</c:v>
                </c:pt>
                <c:pt idx="60">
                  <c:v>1</c:v>
                </c:pt>
                <c:pt idx="61">
                  <c:v>1</c:v>
                </c:pt>
                <c:pt idx="62">
                  <c:v>1</c:v>
                </c:pt>
                <c:pt idx="63">
                  <c:v>2</c:v>
                </c:pt>
                <c:pt idx="64">
                  <c:v>1</c:v>
                </c:pt>
                <c:pt idx="65">
                  <c:v>2</c:v>
                </c:pt>
                <c:pt idx="66">
                  <c:v>2</c:v>
                </c:pt>
                <c:pt idx="67">
                  <c:v>2</c:v>
                </c:pt>
                <c:pt idx="68">
                  <c:v>1</c:v>
                </c:pt>
                <c:pt idx="69">
                  <c:v>1</c:v>
                </c:pt>
                <c:pt idx="70">
                  <c:v>1</c:v>
                </c:pt>
                <c:pt idx="71">
                  <c:v>1</c:v>
                </c:pt>
                <c:pt idx="72">
                  <c:v>1</c:v>
                </c:pt>
                <c:pt idx="73">
                  <c:v>1</c:v>
                </c:pt>
                <c:pt idx="74">
                  <c:v>2</c:v>
                </c:pt>
                <c:pt idx="75">
                  <c:v>1</c:v>
                </c:pt>
                <c:pt idx="76">
                  <c:v>2</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2</c:v>
                </c:pt>
                <c:pt idx="96">
                  <c:v>1</c:v>
                </c:pt>
                <c:pt idx="97">
                  <c:v>1</c:v>
                </c:pt>
                <c:pt idx="98">
                  <c:v>1</c:v>
                </c:pt>
                <c:pt idx="99">
                  <c:v>2</c:v>
                </c:pt>
                <c:pt idx="100">
                  <c:v>1</c:v>
                </c:pt>
                <c:pt idx="101">
                  <c:v>1</c:v>
                </c:pt>
                <c:pt idx="102">
                  <c:v>1</c:v>
                </c:pt>
                <c:pt idx="103">
                  <c:v>1</c:v>
                </c:pt>
                <c:pt idx="104">
                  <c:v>1</c:v>
                </c:pt>
                <c:pt idx="105">
                  <c:v>2</c:v>
                </c:pt>
                <c:pt idx="106">
                  <c:v>1</c:v>
                </c:pt>
                <c:pt idx="107">
                  <c:v>1</c:v>
                </c:pt>
                <c:pt idx="108">
                  <c:v>2</c:v>
                </c:pt>
                <c:pt idx="109">
                  <c:v>3</c:v>
                </c:pt>
                <c:pt idx="110">
                  <c:v>2</c:v>
                </c:pt>
                <c:pt idx="111">
                  <c:v>2</c:v>
                </c:pt>
                <c:pt idx="112">
                  <c:v>4</c:v>
                </c:pt>
                <c:pt idx="113">
                  <c:v>2</c:v>
                </c:pt>
                <c:pt idx="114">
                  <c:v>2</c:v>
                </c:pt>
                <c:pt idx="115">
                  <c:v>2</c:v>
                </c:pt>
                <c:pt idx="116">
                  <c:v>2</c:v>
                </c:pt>
                <c:pt idx="117">
                  <c:v>2</c:v>
                </c:pt>
                <c:pt idx="118">
                  <c:v>3</c:v>
                </c:pt>
                <c:pt idx="119">
                  <c:v>2</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2</c:v>
                </c:pt>
                <c:pt idx="158">
                  <c:v>1</c:v>
                </c:pt>
                <c:pt idx="159">
                  <c:v>1</c:v>
                </c:pt>
                <c:pt idx="160">
                  <c:v>1</c:v>
                </c:pt>
                <c:pt idx="161">
                  <c:v>1</c:v>
                </c:pt>
                <c:pt idx="162">
                  <c:v>1</c:v>
                </c:pt>
                <c:pt idx="163">
                  <c:v>1</c:v>
                </c:pt>
                <c:pt idx="164">
                  <c:v>1</c:v>
                </c:pt>
                <c:pt idx="165">
                  <c:v>2</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2</c:v>
                </c:pt>
                <c:pt idx="200">
                  <c:v>1</c:v>
                </c:pt>
                <c:pt idx="201">
                  <c:v>1</c:v>
                </c:pt>
                <c:pt idx="202">
                  <c:v>1</c:v>
                </c:pt>
                <c:pt idx="203">
                  <c:v>2</c:v>
                </c:pt>
                <c:pt idx="204">
                  <c:v>1</c:v>
                </c:pt>
                <c:pt idx="205">
                  <c:v>2</c:v>
                </c:pt>
                <c:pt idx="206">
                  <c:v>1</c:v>
                </c:pt>
                <c:pt idx="207">
                  <c:v>1</c:v>
                </c:pt>
                <c:pt idx="208">
                  <c:v>1</c:v>
                </c:pt>
                <c:pt idx="209">
                  <c:v>1</c:v>
                </c:pt>
                <c:pt idx="210">
                  <c:v>1</c:v>
                </c:pt>
                <c:pt idx="211">
                  <c:v>1</c:v>
                </c:pt>
                <c:pt idx="212">
                  <c:v>2</c:v>
                </c:pt>
                <c:pt idx="213">
                  <c:v>1</c:v>
                </c:pt>
                <c:pt idx="214">
                  <c:v>2</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2</c:v>
                </c:pt>
                <c:pt idx="229">
                  <c:v>2</c:v>
                </c:pt>
                <c:pt idx="230">
                  <c:v>2</c:v>
                </c:pt>
                <c:pt idx="231">
                  <c:v>2</c:v>
                </c:pt>
                <c:pt idx="232">
                  <c:v>3</c:v>
                </c:pt>
                <c:pt idx="233">
                  <c:v>2</c:v>
                </c:pt>
                <c:pt idx="234">
                  <c:v>2</c:v>
                </c:pt>
                <c:pt idx="235">
                  <c:v>2</c:v>
                </c:pt>
                <c:pt idx="236">
                  <c:v>4</c:v>
                </c:pt>
                <c:pt idx="237">
                  <c:v>3</c:v>
                </c:pt>
                <c:pt idx="238">
                  <c:v>2</c:v>
                </c:pt>
                <c:pt idx="239">
                  <c:v>2</c:v>
                </c:pt>
                <c:pt idx="240">
                  <c:v>1</c:v>
                </c:pt>
                <c:pt idx="241">
                  <c:v>2</c:v>
                </c:pt>
                <c:pt idx="242">
                  <c:v>1</c:v>
                </c:pt>
                <c:pt idx="243">
                  <c:v>3</c:v>
                </c:pt>
              </c:numCache>
            </c:numRef>
          </c:val>
          <c:extLst>
            <c:ext xmlns:c16="http://schemas.microsoft.com/office/drawing/2014/chart" uri="{C3380CC4-5D6E-409C-BE32-E72D297353CC}">
              <c16:uniqueId val="{00000000-2C12-416E-AA01-4945505895B4}"/>
            </c:ext>
          </c:extLst>
        </c:ser>
        <c:dLbls>
          <c:showLegendKey val="0"/>
          <c:showVal val="0"/>
          <c:showCatName val="0"/>
          <c:showSerName val="0"/>
          <c:showPercent val="0"/>
          <c:showBubbleSize val="0"/>
        </c:dLbls>
        <c:axId val="2068420752"/>
        <c:axId val="2068421232"/>
      </c:areaChart>
      <c:catAx>
        <c:axId val="2068420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421232"/>
        <c:crosses val="autoZero"/>
        <c:auto val="1"/>
        <c:lblAlgn val="ctr"/>
        <c:lblOffset val="100"/>
        <c:noMultiLvlLbl val="0"/>
      </c:catAx>
      <c:valAx>
        <c:axId val="2068421232"/>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4207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Dashboard.xlsx]Data!PivotTable7</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Wait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Data!$P$1</c:f>
              <c:strCache>
                <c:ptCount val="1"/>
                <c:pt idx="0">
                  <c:v>Total</c:v>
                </c:pt>
              </c:strCache>
            </c:strRef>
          </c:tx>
          <c:spPr>
            <a:solidFill>
              <a:schemeClr val="accent6">
                <a:lumMod val="60000"/>
                <a:lumOff val="40000"/>
              </a:schemeClr>
            </a:solidFill>
            <a:ln>
              <a:solidFill>
                <a:schemeClr val="accent6">
                  <a:lumMod val="60000"/>
                  <a:lumOff val="40000"/>
                </a:schemeClr>
              </a:solidFill>
            </a:ln>
            <a:effectLst/>
          </c:spPr>
          <c:cat>
            <c:strRef>
              <c:f>Data!$O$2:$O$246</c:f>
              <c:strCache>
                <c:ptCount val="244"/>
                <c:pt idx="0">
                  <c:v>01-01-2024</c:v>
                </c:pt>
                <c:pt idx="1">
                  <c:v>03-01-2024</c:v>
                </c:pt>
                <c:pt idx="2">
                  <c:v>08-01-2024</c:v>
                </c:pt>
                <c:pt idx="3">
                  <c:v>13-01-2024</c:v>
                </c:pt>
                <c:pt idx="4">
                  <c:v>15-01-2024</c:v>
                </c:pt>
                <c:pt idx="5">
                  <c:v>21-01-2024</c:v>
                </c:pt>
                <c:pt idx="6">
                  <c:v>31-01-2024</c:v>
                </c:pt>
                <c:pt idx="7">
                  <c:v>28-02-2024</c:v>
                </c:pt>
                <c:pt idx="8">
                  <c:v>03-03-2024</c:v>
                </c:pt>
                <c:pt idx="9">
                  <c:v>06-03-2024</c:v>
                </c:pt>
                <c:pt idx="10">
                  <c:v>08-03-2024</c:v>
                </c:pt>
                <c:pt idx="11">
                  <c:v>13-03-2024</c:v>
                </c:pt>
                <c:pt idx="12">
                  <c:v>14-03-2024</c:v>
                </c:pt>
                <c:pt idx="13">
                  <c:v>17-03-2024</c:v>
                </c:pt>
                <c:pt idx="14">
                  <c:v>19-03-2024</c:v>
                </c:pt>
                <c:pt idx="15">
                  <c:v>21-03-2024</c:v>
                </c:pt>
                <c:pt idx="16">
                  <c:v>22-03-2024</c:v>
                </c:pt>
                <c:pt idx="17">
                  <c:v>24-03-2024</c:v>
                </c:pt>
                <c:pt idx="18">
                  <c:v>25-03-2024</c:v>
                </c:pt>
                <c:pt idx="19">
                  <c:v>26-03-2024</c:v>
                </c:pt>
                <c:pt idx="20">
                  <c:v>27-03-2024</c:v>
                </c:pt>
                <c:pt idx="21">
                  <c:v>28-03-2024</c:v>
                </c:pt>
                <c:pt idx="22">
                  <c:v>29-03-2024</c:v>
                </c:pt>
                <c:pt idx="23">
                  <c:v>31-03-2024</c:v>
                </c:pt>
                <c:pt idx="24">
                  <c:v>03-04-2024</c:v>
                </c:pt>
                <c:pt idx="25">
                  <c:v>04-04-2024</c:v>
                </c:pt>
                <c:pt idx="26">
                  <c:v>13-04-2024</c:v>
                </c:pt>
                <c:pt idx="27">
                  <c:v>23-04-2024</c:v>
                </c:pt>
                <c:pt idx="28">
                  <c:v>25-04-2024</c:v>
                </c:pt>
                <c:pt idx="29">
                  <c:v>27-04-2024</c:v>
                </c:pt>
                <c:pt idx="30">
                  <c:v>03-05-2024</c:v>
                </c:pt>
                <c:pt idx="31">
                  <c:v>08-05-2024</c:v>
                </c:pt>
                <c:pt idx="32">
                  <c:v>13-05-2024</c:v>
                </c:pt>
                <c:pt idx="33">
                  <c:v>14-05-2024</c:v>
                </c:pt>
                <c:pt idx="34">
                  <c:v>17-05-2024</c:v>
                </c:pt>
                <c:pt idx="35">
                  <c:v>19-05-2024</c:v>
                </c:pt>
                <c:pt idx="36">
                  <c:v>21-05-2024</c:v>
                </c:pt>
                <c:pt idx="37">
                  <c:v>24-05-2024</c:v>
                </c:pt>
                <c:pt idx="38">
                  <c:v>25-05-2024</c:v>
                </c:pt>
                <c:pt idx="39">
                  <c:v>26-05-2024</c:v>
                </c:pt>
                <c:pt idx="40">
                  <c:v>27-05-2024</c:v>
                </c:pt>
                <c:pt idx="41">
                  <c:v>28-05-2024</c:v>
                </c:pt>
                <c:pt idx="42">
                  <c:v>29-05-2024</c:v>
                </c:pt>
                <c:pt idx="43">
                  <c:v>31-05-2024</c:v>
                </c:pt>
                <c:pt idx="44">
                  <c:v>03-06-2024</c:v>
                </c:pt>
                <c:pt idx="45">
                  <c:v>08-06-2024</c:v>
                </c:pt>
                <c:pt idx="46">
                  <c:v>13-06-2024</c:v>
                </c:pt>
                <c:pt idx="47">
                  <c:v>14-06-2024</c:v>
                </c:pt>
                <c:pt idx="48">
                  <c:v>17-06-2024</c:v>
                </c:pt>
                <c:pt idx="49">
                  <c:v>19-06-2024</c:v>
                </c:pt>
                <c:pt idx="50">
                  <c:v>21-06-2024</c:v>
                </c:pt>
                <c:pt idx="51">
                  <c:v>24-06-2024</c:v>
                </c:pt>
                <c:pt idx="52">
                  <c:v>25-06-2024</c:v>
                </c:pt>
                <c:pt idx="53">
                  <c:v>26-06-2024</c:v>
                </c:pt>
                <c:pt idx="54">
                  <c:v>27-06-2024</c:v>
                </c:pt>
                <c:pt idx="55">
                  <c:v>28-06-2024</c:v>
                </c:pt>
                <c:pt idx="56">
                  <c:v>29-06-2024</c:v>
                </c:pt>
                <c:pt idx="57">
                  <c:v>17-07-2024</c:v>
                </c:pt>
                <c:pt idx="58">
                  <c:v>19-07-2024</c:v>
                </c:pt>
                <c:pt idx="59">
                  <c:v>26-07-2024</c:v>
                </c:pt>
                <c:pt idx="60">
                  <c:v>29-07-2024</c:v>
                </c:pt>
                <c:pt idx="61">
                  <c:v>03-08-2024</c:v>
                </c:pt>
                <c:pt idx="62">
                  <c:v>07-08-2024</c:v>
                </c:pt>
                <c:pt idx="63">
                  <c:v>08-08-2024</c:v>
                </c:pt>
                <c:pt idx="64">
                  <c:v>13-08-2024</c:v>
                </c:pt>
                <c:pt idx="65">
                  <c:v>14-08-2024</c:v>
                </c:pt>
                <c:pt idx="66">
                  <c:v>17-08-2024</c:v>
                </c:pt>
                <c:pt idx="67">
                  <c:v>19-08-2024</c:v>
                </c:pt>
                <c:pt idx="68">
                  <c:v>21-08-2024</c:v>
                </c:pt>
                <c:pt idx="69">
                  <c:v>24-08-2024</c:v>
                </c:pt>
                <c:pt idx="70">
                  <c:v>25-08-2024</c:v>
                </c:pt>
                <c:pt idx="71">
                  <c:v>26-08-2024</c:v>
                </c:pt>
                <c:pt idx="72">
                  <c:v>27-08-2024</c:v>
                </c:pt>
                <c:pt idx="73">
                  <c:v>28-08-2024</c:v>
                </c:pt>
                <c:pt idx="74">
                  <c:v>29-08-2024</c:v>
                </c:pt>
                <c:pt idx="75">
                  <c:v>30-08-2024</c:v>
                </c:pt>
                <c:pt idx="76">
                  <c:v>31-08-2024</c:v>
                </c:pt>
                <c:pt idx="77">
                  <c:v>03-09-2024</c:v>
                </c:pt>
                <c:pt idx="78">
                  <c:v>08-09-2024</c:v>
                </c:pt>
                <c:pt idx="79">
                  <c:v>13-09-2024</c:v>
                </c:pt>
                <c:pt idx="80">
                  <c:v>14-09-2024</c:v>
                </c:pt>
                <c:pt idx="81">
                  <c:v>19-09-2024</c:v>
                </c:pt>
                <c:pt idx="82">
                  <c:v>21-09-2024</c:v>
                </c:pt>
                <c:pt idx="83">
                  <c:v>24-09-2024</c:v>
                </c:pt>
                <c:pt idx="84">
                  <c:v>25-09-2024</c:v>
                </c:pt>
                <c:pt idx="85">
                  <c:v>27-09-2024</c:v>
                </c:pt>
                <c:pt idx="86">
                  <c:v>28-09-2024</c:v>
                </c:pt>
                <c:pt idx="87">
                  <c:v>29-09-2024</c:v>
                </c:pt>
                <c:pt idx="88">
                  <c:v>03-10-2024</c:v>
                </c:pt>
                <c:pt idx="89">
                  <c:v>08-10-2024</c:v>
                </c:pt>
                <c:pt idx="90">
                  <c:v>09-10-2024</c:v>
                </c:pt>
                <c:pt idx="91">
                  <c:v>13-10-2024</c:v>
                </c:pt>
                <c:pt idx="92">
                  <c:v>14-10-2024</c:v>
                </c:pt>
                <c:pt idx="93">
                  <c:v>17-10-2024</c:v>
                </c:pt>
                <c:pt idx="94">
                  <c:v>19-10-2024</c:v>
                </c:pt>
                <c:pt idx="95">
                  <c:v>24-10-2024</c:v>
                </c:pt>
                <c:pt idx="96">
                  <c:v>25-10-2024</c:v>
                </c:pt>
                <c:pt idx="97">
                  <c:v>26-10-2024</c:v>
                </c:pt>
                <c:pt idx="98">
                  <c:v>27-10-2024</c:v>
                </c:pt>
                <c:pt idx="99">
                  <c:v>28-10-2024</c:v>
                </c:pt>
                <c:pt idx="100">
                  <c:v>29-10-2024</c:v>
                </c:pt>
                <c:pt idx="101">
                  <c:v>31-10-2024</c:v>
                </c:pt>
                <c:pt idx="102">
                  <c:v>14-11-2024</c:v>
                </c:pt>
                <c:pt idx="103">
                  <c:v>02-12-2024</c:v>
                </c:pt>
                <c:pt idx="104">
                  <c:v>03-12-2024</c:v>
                </c:pt>
                <c:pt idx="105">
                  <c:v>08-12-2024</c:v>
                </c:pt>
                <c:pt idx="106">
                  <c:v>09-12-2024</c:v>
                </c:pt>
                <c:pt idx="107">
                  <c:v>11-12-2024</c:v>
                </c:pt>
                <c:pt idx="108">
                  <c:v>13-12-2024</c:v>
                </c:pt>
                <c:pt idx="109">
                  <c:v>14-12-2024</c:v>
                </c:pt>
                <c:pt idx="110">
                  <c:v>17-12-2024</c:v>
                </c:pt>
                <c:pt idx="111">
                  <c:v>19-12-2024</c:v>
                </c:pt>
                <c:pt idx="112">
                  <c:v>21-12-2024</c:v>
                </c:pt>
                <c:pt idx="113">
                  <c:v>24-12-2024</c:v>
                </c:pt>
                <c:pt idx="114">
                  <c:v>25-12-2024</c:v>
                </c:pt>
                <c:pt idx="115">
                  <c:v>26-12-2024</c:v>
                </c:pt>
                <c:pt idx="116">
                  <c:v>27-12-2024</c:v>
                </c:pt>
                <c:pt idx="117">
                  <c:v>28-12-2024</c:v>
                </c:pt>
                <c:pt idx="118">
                  <c:v>29-12-2024</c:v>
                </c:pt>
                <c:pt idx="119">
                  <c:v>31-12-2024</c:v>
                </c:pt>
                <c:pt idx="120">
                  <c:v>04-01-2025</c:v>
                </c:pt>
                <c:pt idx="121">
                  <c:v>06-01-2025</c:v>
                </c:pt>
                <c:pt idx="122">
                  <c:v>07-01-2025</c:v>
                </c:pt>
                <c:pt idx="123">
                  <c:v>11-01-2025</c:v>
                </c:pt>
                <c:pt idx="124">
                  <c:v>12-01-2025</c:v>
                </c:pt>
                <c:pt idx="125">
                  <c:v>16-01-2025</c:v>
                </c:pt>
                <c:pt idx="126">
                  <c:v>17-01-2025</c:v>
                </c:pt>
                <c:pt idx="127">
                  <c:v>24-01-2025</c:v>
                </c:pt>
                <c:pt idx="128">
                  <c:v>30-01-2025</c:v>
                </c:pt>
                <c:pt idx="129">
                  <c:v>02-02-2025</c:v>
                </c:pt>
                <c:pt idx="130">
                  <c:v>03-02-2025</c:v>
                </c:pt>
                <c:pt idx="131">
                  <c:v>07-02-2025</c:v>
                </c:pt>
                <c:pt idx="132">
                  <c:v>09-02-2025</c:v>
                </c:pt>
                <c:pt idx="133">
                  <c:v>10-02-2025</c:v>
                </c:pt>
                <c:pt idx="134">
                  <c:v>11-02-2025</c:v>
                </c:pt>
                <c:pt idx="135">
                  <c:v>12-02-2025</c:v>
                </c:pt>
                <c:pt idx="136">
                  <c:v>15-02-2025</c:v>
                </c:pt>
                <c:pt idx="137">
                  <c:v>16-02-2025</c:v>
                </c:pt>
                <c:pt idx="138">
                  <c:v>18-02-2025</c:v>
                </c:pt>
                <c:pt idx="139">
                  <c:v>20-02-2025</c:v>
                </c:pt>
                <c:pt idx="140">
                  <c:v>22-02-2025</c:v>
                </c:pt>
                <c:pt idx="141">
                  <c:v>02-03-2025</c:v>
                </c:pt>
                <c:pt idx="142">
                  <c:v>07-03-2025</c:v>
                </c:pt>
                <c:pt idx="143">
                  <c:v>10-03-2025</c:v>
                </c:pt>
                <c:pt idx="144">
                  <c:v>11-03-2025</c:v>
                </c:pt>
                <c:pt idx="145">
                  <c:v>16-03-2025</c:v>
                </c:pt>
                <c:pt idx="146">
                  <c:v>02-04-2025</c:v>
                </c:pt>
                <c:pt idx="147">
                  <c:v>04-04-2025</c:v>
                </c:pt>
                <c:pt idx="148">
                  <c:v>06-04-2025</c:v>
                </c:pt>
                <c:pt idx="149">
                  <c:v>07-04-2025</c:v>
                </c:pt>
                <c:pt idx="150">
                  <c:v>09-04-2025</c:v>
                </c:pt>
                <c:pt idx="151">
                  <c:v>10-04-2025</c:v>
                </c:pt>
                <c:pt idx="152">
                  <c:v>11-04-2025</c:v>
                </c:pt>
                <c:pt idx="153">
                  <c:v>12-04-2025</c:v>
                </c:pt>
                <c:pt idx="154">
                  <c:v>15-04-2025</c:v>
                </c:pt>
                <c:pt idx="155">
                  <c:v>17-04-2025</c:v>
                </c:pt>
                <c:pt idx="156">
                  <c:v>18-04-2025</c:v>
                </c:pt>
                <c:pt idx="157">
                  <c:v>20-04-2025</c:v>
                </c:pt>
                <c:pt idx="158">
                  <c:v>22-04-2025</c:v>
                </c:pt>
                <c:pt idx="159">
                  <c:v>30-04-2025</c:v>
                </c:pt>
                <c:pt idx="160">
                  <c:v>02-05-2025</c:v>
                </c:pt>
                <c:pt idx="161">
                  <c:v>04-05-2025</c:v>
                </c:pt>
                <c:pt idx="162">
                  <c:v>05-05-2025</c:v>
                </c:pt>
                <c:pt idx="163">
                  <c:v>06-05-2025</c:v>
                </c:pt>
                <c:pt idx="164">
                  <c:v>09-05-2025</c:v>
                </c:pt>
                <c:pt idx="165">
                  <c:v>10-05-2025</c:v>
                </c:pt>
                <c:pt idx="166">
                  <c:v>12-05-2025</c:v>
                </c:pt>
                <c:pt idx="167">
                  <c:v>15-05-2025</c:v>
                </c:pt>
                <c:pt idx="168">
                  <c:v>16-05-2025</c:v>
                </c:pt>
                <c:pt idx="169">
                  <c:v>18-05-2025</c:v>
                </c:pt>
                <c:pt idx="170">
                  <c:v>20-05-2025</c:v>
                </c:pt>
                <c:pt idx="171">
                  <c:v>22-05-2025</c:v>
                </c:pt>
                <c:pt idx="172">
                  <c:v>30-05-2025</c:v>
                </c:pt>
                <c:pt idx="173">
                  <c:v>11-06-2025</c:v>
                </c:pt>
                <c:pt idx="174">
                  <c:v>16-06-2025</c:v>
                </c:pt>
                <c:pt idx="175">
                  <c:v>18-06-2025</c:v>
                </c:pt>
                <c:pt idx="176">
                  <c:v>20-06-2025</c:v>
                </c:pt>
                <c:pt idx="177">
                  <c:v>22-06-2025</c:v>
                </c:pt>
                <c:pt idx="178">
                  <c:v>27-06-2025</c:v>
                </c:pt>
                <c:pt idx="179">
                  <c:v>02-07-2025</c:v>
                </c:pt>
                <c:pt idx="180">
                  <c:v>04-07-2025</c:v>
                </c:pt>
                <c:pt idx="181">
                  <c:v>06-07-2025</c:v>
                </c:pt>
                <c:pt idx="182">
                  <c:v>07-07-2025</c:v>
                </c:pt>
                <c:pt idx="183">
                  <c:v>08-07-2025</c:v>
                </c:pt>
                <c:pt idx="184">
                  <c:v>09-07-2025</c:v>
                </c:pt>
                <c:pt idx="185">
                  <c:v>10-07-2025</c:v>
                </c:pt>
                <c:pt idx="186">
                  <c:v>11-07-2025</c:v>
                </c:pt>
                <c:pt idx="187">
                  <c:v>12-07-2025</c:v>
                </c:pt>
                <c:pt idx="188">
                  <c:v>15-07-2025</c:v>
                </c:pt>
                <c:pt idx="189">
                  <c:v>16-07-2025</c:v>
                </c:pt>
                <c:pt idx="190">
                  <c:v>18-07-2025</c:v>
                </c:pt>
                <c:pt idx="191">
                  <c:v>20-07-2025</c:v>
                </c:pt>
                <c:pt idx="192">
                  <c:v>22-07-2025</c:v>
                </c:pt>
                <c:pt idx="193">
                  <c:v>30-07-2025</c:v>
                </c:pt>
                <c:pt idx="194">
                  <c:v>31-07-2025</c:v>
                </c:pt>
                <c:pt idx="195">
                  <c:v>06-08-2025</c:v>
                </c:pt>
                <c:pt idx="196">
                  <c:v>18-08-2025</c:v>
                </c:pt>
                <c:pt idx="197">
                  <c:v>22-08-2025</c:v>
                </c:pt>
                <c:pt idx="198">
                  <c:v>02-09-2025</c:v>
                </c:pt>
                <c:pt idx="199">
                  <c:v>04-09-2025</c:v>
                </c:pt>
                <c:pt idx="200">
                  <c:v>06-09-2025</c:v>
                </c:pt>
                <c:pt idx="201">
                  <c:v>07-09-2025</c:v>
                </c:pt>
                <c:pt idx="202">
                  <c:v>09-09-2025</c:v>
                </c:pt>
                <c:pt idx="203">
                  <c:v>10-09-2025</c:v>
                </c:pt>
                <c:pt idx="204">
                  <c:v>11-09-2025</c:v>
                </c:pt>
                <c:pt idx="205">
                  <c:v>12-09-2025</c:v>
                </c:pt>
                <c:pt idx="206">
                  <c:v>15-09-2025</c:v>
                </c:pt>
                <c:pt idx="207">
                  <c:v>16-09-2025</c:v>
                </c:pt>
                <c:pt idx="208">
                  <c:v>18-09-2025</c:v>
                </c:pt>
                <c:pt idx="209">
                  <c:v>20-09-2025</c:v>
                </c:pt>
                <c:pt idx="210">
                  <c:v>22-09-2025</c:v>
                </c:pt>
                <c:pt idx="211">
                  <c:v>28-09-2025</c:v>
                </c:pt>
                <c:pt idx="212">
                  <c:v>30-09-2025</c:v>
                </c:pt>
                <c:pt idx="213">
                  <c:v>02-10-2025</c:v>
                </c:pt>
                <c:pt idx="214">
                  <c:v>04-10-2025</c:v>
                </c:pt>
                <c:pt idx="215">
                  <c:v>05-10-2025</c:v>
                </c:pt>
                <c:pt idx="216">
                  <c:v>06-10-2025</c:v>
                </c:pt>
                <c:pt idx="217">
                  <c:v>07-10-2025</c:v>
                </c:pt>
                <c:pt idx="218">
                  <c:v>09-10-2025</c:v>
                </c:pt>
                <c:pt idx="219">
                  <c:v>10-10-2025</c:v>
                </c:pt>
                <c:pt idx="220">
                  <c:v>11-10-2025</c:v>
                </c:pt>
                <c:pt idx="221">
                  <c:v>12-10-2025</c:v>
                </c:pt>
                <c:pt idx="222">
                  <c:v>15-10-2025</c:v>
                </c:pt>
                <c:pt idx="223">
                  <c:v>16-10-2025</c:v>
                </c:pt>
                <c:pt idx="224">
                  <c:v>18-10-2025</c:v>
                </c:pt>
                <c:pt idx="225">
                  <c:v>20-10-2025</c:v>
                </c:pt>
                <c:pt idx="226">
                  <c:v>22-10-2025</c:v>
                </c:pt>
                <c:pt idx="227">
                  <c:v>30-10-2025</c:v>
                </c:pt>
                <c:pt idx="228">
                  <c:v>02-11-2025</c:v>
                </c:pt>
                <c:pt idx="229">
                  <c:v>04-11-2025</c:v>
                </c:pt>
                <c:pt idx="230">
                  <c:v>06-11-2025</c:v>
                </c:pt>
                <c:pt idx="231">
                  <c:v>07-11-2025</c:v>
                </c:pt>
                <c:pt idx="232">
                  <c:v>09-11-2025</c:v>
                </c:pt>
                <c:pt idx="233">
                  <c:v>10-11-2025</c:v>
                </c:pt>
                <c:pt idx="234">
                  <c:v>11-11-2025</c:v>
                </c:pt>
                <c:pt idx="235">
                  <c:v>12-11-2025</c:v>
                </c:pt>
                <c:pt idx="236">
                  <c:v>15-11-2025</c:v>
                </c:pt>
                <c:pt idx="237">
                  <c:v>16-11-2025</c:v>
                </c:pt>
                <c:pt idx="238">
                  <c:v>18-11-2025</c:v>
                </c:pt>
                <c:pt idx="239">
                  <c:v>20-11-2025</c:v>
                </c:pt>
                <c:pt idx="240">
                  <c:v>21-11-2025</c:v>
                </c:pt>
                <c:pt idx="241">
                  <c:v>22-11-2025</c:v>
                </c:pt>
                <c:pt idx="242">
                  <c:v>25-11-2025</c:v>
                </c:pt>
                <c:pt idx="243">
                  <c:v>30-11-2025</c:v>
                </c:pt>
              </c:strCache>
            </c:strRef>
          </c:cat>
          <c:val>
            <c:numRef>
              <c:f>Data!$P$2:$P$246</c:f>
              <c:numCache>
                <c:formatCode>0.00</c:formatCode>
                <c:ptCount val="244"/>
                <c:pt idx="0">
                  <c:v>18</c:v>
                </c:pt>
                <c:pt idx="1">
                  <c:v>56</c:v>
                </c:pt>
                <c:pt idx="2">
                  <c:v>14</c:v>
                </c:pt>
                <c:pt idx="3">
                  <c:v>34</c:v>
                </c:pt>
                <c:pt idx="4">
                  <c:v>45</c:v>
                </c:pt>
                <c:pt idx="5">
                  <c:v>47</c:v>
                </c:pt>
                <c:pt idx="6">
                  <c:v>39</c:v>
                </c:pt>
                <c:pt idx="7">
                  <c:v>49</c:v>
                </c:pt>
                <c:pt idx="8">
                  <c:v>17</c:v>
                </c:pt>
                <c:pt idx="9">
                  <c:v>60</c:v>
                </c:pt>
                <c:pt idx="10">
                  <c:v>14</c:v>
                </c:pt>
                <c:pt idx="11">
                  <c:v>14</c:v>
                </c:pt>
                <c:pt idx="12">
                  <c:v>27</c:v>
                </c:pt>
                <c:pt idx="13">
                  <c:v>30</c:v>
                </c:pt>
                <c:pt idx="14">
                  <c:v>42</c:v>
                </c:pt>
                <c:pt idx="15">
                  <c:v>26</c:v>
                </c:pt>
                <c:pt idx="16">
                  <c:v>43</c:v>
                </c:pt>
                <c:pt idx="17">
                  <c:v>19</c:v>
                </c:pt>
                <c:pt idx="18">
                  <c:v>11</c:v>
                </c:pt>
                <c:pt idx="19">
                  <c:v>20</c:v>
                </c:pt>
                <c:pt idx="20">
                  <c:v>41</c:v>
                </c:pt>
                <c:pt idx="21">
                  <c:v>25</c:v>
                </c:pt>
                <c:pt idx="22">
                  <c:v>19</c:v>
                </c:pt>
                <c:pt idx="23">
                  <c:v>50</c:v>
                </c:pt>
                <c:pt idx="24">
                  <c:v>21</c:v>
                </c:pt>
                <c:pt idx="25">
                  <c:v>24</c:v>
                </c:pt>
                <c:pt idx="26">
                  <c:v>52</c:v>
                </c:pt>
                <c:pt idx="27">
                  <c:v>30</c:v>
                </c:pt>
                <c:pt idx="28">
                  <c:v>27</c:v>
                </c:pt>
                <c:pt idx="29">
                  <c:v>18</c:v>
                </c:pt>
                <c:pt idx="30">
                  <c:v>30</c:v>
                </c:pt>
                <c:pt idx="31">
                  <c:v>59</c:v>
                </c:pt>
                <c:pt idx="32">
                  <c:v>18</c:v>
                </c:pt>
                <c:pt idx="33">
                  <c:v>45</c:v>
                </c:pt>
                <c:pt idx="34">
                  <c:v>49</c:v>
                </c:pt>
                <c:pt idx="35">
                  <c:v>41</c:v>
                </c:pt>
                <c:pt idx="36">
                  <c:v>12</c:v>
                </c:pt>
                <c:pt idx="37">
                  <c:v>43</c:v>
                </c:pt>
                <c:pt idx="38">
                  <c:v>11</c:v>
                </c:pt>
                <c:pt idx="39">
                  <c:v>33.5</c:v>
                </c:pt>
                <c:pt idx="40">
                  <c:v>30</c:v>
                </c:pt>
                <c:pt idx="41">
                  <c:v>34</c:v>
                </c:pt>
                <c:pt idx="42">
                  <c:v>21</c:v>
                </c:pt>
                <c:pt idx="43">
                  <c:v>34</c:v>
                </c:pt>
                <c:pt idx="44">
                  <c:v>56</c:v>
                </c:pt>
                <c:pt idx="45">
                  <c:v>17</c:v>
                </c:pt>
                <c:pt idx="46">
                  <c:v>38.5</c:v>
                </c:pt>
                <c:pt idx="47">
                  <c:v>59</c:v>
                </c:pt>
                <c:pt idx="48">
                  <c:v>55</c:v>
                </c:pt>
                <c:pt idx="49">
                  <c:v>54.5</c:v>
                </c:pt>
                <c:pt idx="50">
                  <c:v>48</c:v>
                </c:pt>
                <c:pt idx="51">
                  <c:v>25</c:v>
                </c:pt>
                <c:pt idx="52">
                  <c:v>37</c:v>
                </c:pt>
                <c:pt idx="53">
                  <c:v>28</c:v>
                </c:pt>
                <c:pt idx="54">
                  <c:v>43</c:v>
                </c:pt>
                <c:pt idx="55">
                  <c:v>32</c:v>
                </c:pt>
                <c:pt idx="56">
                  <c:v>42</c:v>
                </c:pt>
                <c:pt idx="57">
                  <c:v>36</c:v>
                </c:pt>
                <c:pt idx="58">
                  <c:v>51</c:v>
                </c:pt>
                <c:pt idx="59">
                  <c:v>56</c:v>
                </c:pt>
                <c:pt idx="60">
                  <c:v>29</c:v>
                </c:pt>
                <c:pt idx="61">
                  <c:v>54</c:v>
                </c:pt>
                <c:pt idx="62">
                  <c:v>44</c:v>
                </c:pt>
                <c:pt idx="63">
                  <c:v>32</c:v>
                </c:pt>
                <c:pt idx="64">
                  <c:v>31</c:v>
                </c:pt>
                <c:pt idx="65">
                  <c:v>12</c:v>
                </c:pt>
                <c:pt idx="66">
                  <c:v>31</c:v>
                </c:pt>
                <c:pt idx="67">
                  <c:v>41</c:v>
                </c:pt>
                <c:pt idx="68">
                  <c:v>29</c:v>
                </c:pt>
                <c:pt idx="69">
                  <c:v>36</c:v>
                </c:pt>
                <c:pt idx="70">
                  <c:v>43</c:v>
                </c:pt>
                <c:pt idx="71">
                  <c:v>55</c:v>
                </c:pt>
                <c:pt idx="72">
                  <c:v>40</c:v>
                </c:pt>
                <c:pt idx="73">
                  <c:v>18</c:v>
                </c:pt>
                <c:pt idx="74">
                  <c:v>41.5</c:v>
                </c:pt>
                <c:pt idx="75">
                  <c:v>53</c:v>
                </c:pt>
                <c:pt idx="76">
                  <c:v>18</c:v>
                </c:pt>
                <c:pt idx="77">
                  <c:v>38</c:v>
                </c:pt>
                <c:pt idx="78">
                  <c:v>60</c:v>
                </c:pt>
                <c:pt idx="79">
                  <c:v>52</c:v>
                </c:pt>
                <c:pt idx="80">
                  <c:v>21</c:v>
                </c:pt>
                <c:pt idx="81">
                  <c:v>41</c:v>
                </c:pt>
                <c:pt idx="82">
                  <c:v>26</c:v>
                </c:pt>
                <c:pt idx="83">
                  <c:v>32</c:v>
                </c:pt>
                <c:pt idx="84">
                  <c:v>17</c:v>
                </c:pt>
                <c:pt idx="85">
                  <c:v>15</c:v>
                </c:pt>
                <c:pt idx="86">
                  <c:v>12</c:v>
                </c:pt>
                <c:pt idx="87">
                  <c:v>57</c:v>
                </c:pt>
                <c:pt idx="88">
                  <c:v>57</c:v>
                </c:pt>
                <c:pt idx="89">
                  <c:v>11</c:v>
                </c:pt>
                <c:pt idx="90">
                  <c:v>35</c:v>
                </c:pt>
                <c:pt idx="91">
                  <c:v>11</c:v>
                </c:pt>
                <c:pt idx="92">
                  <c:v>13</c:v>
                </c:pt>
                <c:pt idx="93">
                  <c:v>53</c:v>
                </c:pt>
                <c:pt idx="94">
                  <c:v>15</c:v>
                </c:pt>
                <c:pt idx="95">
                  <c:v>41</c:v>
                </c:pt>
                <c:pt idx="96">
                  <c:v>38</c:v>
                </c:pt>
                <c:pt idx="97">
                  <c:v>27</c:v>
                </c:pt>
                <c:pt idx="98">
                  <c:v>33</c:v>
                </c:pt>
                <c:pt idx="99">
                  <c:v>51</c:v>
                </c:pt>
                <c:pt idx="100">
                  <c:v>34</c:v>
                </c:pt>
                <c:pt idx="101">
                  <c:v>33</c:v>
                </c:pt>
                <c:pt idx="102">
                  <c:v>53</c:v>
                </c:pt>
                <c:pt idx="103">
                  <c:v>24</c:v>
                </c:pt>
                <c:pt idx="104">
                  <c:v>14</c:v>
                </c:pt>
                <c:pt idx="105">
                  <c:v>16</c:v>
                </c:pt>
                <c:pt idx="106">
                  <c:v>11</c:v>
                </c:pt>
                <c:pt idx="107">
                  <c:v>22</c:v>
                </c:pt>
                <c:pt idx="108">
                  <c:v>28.5</c:v>
                </c:pt>
                <c:pt idx="109">
                  <c:v>17.333333333333332</c:v>
                </c:pt>
                <c:pt idx="110">
                  <c:v>12.5</c:v>
                </c:pt>
                <c:pt idx="111">
                  <c:v>43.5</c:v>
                </c:pt>
                <c:pt idx="112">
                  <c:v>27</c:v>
                </c:pt>
                <c:pt idx="113">
                  <c:v>11.5</c:v>
                </c:pt>
                <c:pt idx="114">
                  <c:v>29</c:v>
                </c:pt>
                <c:pt idx="115">
                  <c:v>33</c:v>
                </c:pt>
                <c:pt idx="116">
                  <c:v>24.5</c:v>
                </c:pt>
                <c:pt idx="117">
                  <c:v>21.5</c:v>
                </c:pt>
                <c:pt idx="118">
                  <c:v>41.333333333333336</c:v>
                </c:pt>
                <c:pt idx="119">
                  <c:v>48</c:v>
                </c:pt>
                <c:pt idx="120">
                  <c:v>39</c:v>
                </c:pt>
                <c:pt idx="121">
                  <c:v>25</c:v>
                </c:pt>
                <c:pt idx="122">
                  <c:v>32</c:v>
                </c:pt>
                <c:pt idx="123">
                  <c:v>35</c:v>
                </c:pt>
                <c:pt idx="124">
                  <c:v>49</c:v>
                </c:pt>
                <c:pt idx="125">
                  <c:v>37</c:v>
                </c:pt>
                <c:pt idx="126">
                  <c:v>43</c:v>
                </c:pt>
                <c:pt idx="127">
                  <c:v>52</c:v>
                </c:pt>
                <c:pt idx="128">
                  <c:v>49</c:v>
                </c:pt>
                <c:pt idx="129">
                  <c:v>37</c:v>
                </c:pt>
                <c:pt idx="130">
                  <c:v>57</c:v>
                </c:pt>
                <c:pt idx="131">
                  <c:v>56</c:v>
                </c:pt>
                <c:pt idx="132">
                  <c:v>21</c:v>
                </c:pt>
                <c:pt idx="133">
                  <c:v>28</c:v>
                </c:pt>
                <c:pt idx="134">
                  <c:v>49</c:v>
                </c:pt>
                <c:pt idx="135">
                  <c:v>22</c:v>
                </c:pt>
                <c:pt idx="136">
                  <c:v>10</c:v>
                </c:pt>
                <c:pt idx="137">
                  <c:v>52</c:v>
                </c:pt>
                <c:pt idx="138">
                  <c:v>43</c:v>
                </c:pt>
                <c:pt idx="139">
                  <c:v>56</c:v>
                </c:pt>
                <c:pt idx="140">
                  <c:v>20</c:v>
                </c:pt>
                <c:pt idx="141">
                  <c:v>52</c:v>
                </c:pt>
                <c:pt idx="142">
                  <c:v>42</c:v>
                </c:pt>
                <c:pt idx="143">
                  <c:v>43</c:v>
                </c:pt>
                <c:pt idx="144">
                  <c:v>40</c:v>
                </c:pt>
                <c:pt idx="145">
                  <c:v>44</c:v>
                </c:pt>
                <c:pt idx="146">
                  <c:v>28</c:v>
                </c:pt>
                <c:pt idx="147">
                  <c:v>27</c:v>
                </c:pt>
                <c:pt idx="148">
                  <c:v>30</c:v>
                </c:pt>
                <c:pt idx="149">
                  <c:v>25</c:v>
                </c:pt>
                <c:pt idx="150">
                  <c:v>10</c:v>
                </c:pt>
                <c:pt idx="151">
                  <c:v>28</c:v>
                </c:pt>
                <c:pt idx="152">
                  <c:v>32</c:v>
                </c:pt>
                <c:pt idx="153">
                  <c:v>57</c:v>
                </c:pt>
                <c:pt idx="154">
                  <c:v>59</c:v>
                </c:pt>
                <c:pt idx="155">
                  <c:v>18</c:v>
                </c:pt>
                <c:pt idx="156">
                  <c:v>25</c:v>
                </c:pt>
                <c:pt idx="157">
                  <c:v>36</c:v>
                </c:pt>
                <c:pt idx="158">
                  <c:v>59</c:v>
                </c:pt>
                <c:pt idx="159">
                  <c:v>51</c:v>
                </c:pt>
                <c:pt idx="160">
                  <c:v>46</c:v>
                </c:pt>
                <c:pt idx="161">
                  <c:v>12</c:v>
                </c:pt>
                <c:pt idx="162">
                  <c:v>49</c:v>
                </c:pt>
                <c:pt idx="163">
                  <c:v>53</c:v>
                </c:pt>
                <c:pt idx="164">
                  <c:v>52</c:v>
                </c:pt>
                <c:pt idx="165">
                  <c:v>31</c:v>
                </c:pt>
                <c:pt idx="166">
                  <c:v>50</c:v>
                </c:pt>
                <c:pt idx="167">
                  <c:v>44</c:v>
                </c:pt>
                <c:pt idx="168">
                  <c:v>11</c:v>
                </c:pt>
                <c:pt idx="169">
                  <c:v>52</c:v>
                </c:pt>
                <c:pt idx="170">
                  <c:v>58</c:v>
                </c:pt>
                <c:pt idx="171">
                  <c:v>51</c:v>
                </c:pt>
                <c:pt idx="172">
                  <c:v>10</c:v>
                </c:pt>
                <c:pt idx="173">
                  <c:v>14</c:v>
                </c:pt>
                <c:pt idx="174">
                  <c:v>55</c:v>
                </c:pt>
                <c:pt idx="175">
                  <c:v>21</c:v>
                </c:pt>
                <c:pt idx="176">
                  <c:v>60</c:v>
                </c:pt>
                <c:pt idx="177">
                  <c:v>11</c:v>
                </c:pt>
                <c:pt idx="178">
                  <c:v>23</c:v>
                </c:pt>
                <c:pt idx="179">
                  <c:v>33</c:v>
                </c:pt>
                <c:pt idx="180">
                  <c:v>57</c:v>
                </c:pt>
                <c:pt idx="181">
                  <c:v>13</c:v>
                </c:pt>
                <c:pt idx="182">
                  <c:v>40</c:v>
                </c:pt>
                <c:pt idx="183">
                  <c:v>36</c:v>
                </c:pt>
                <c:pt idx="184">
                  <c:v>38</c:v>
                </c:pt>
                <c:pt idx="185">
                  <c:v>43</c:v>
                </c:pt>
                <c:pt idx="186">
                  <c:v>27</c:v>
                </c:pt>
                <c:pt idx="187">
                  <c:v>30</c:v>
                </c:pt>
                <c:pt idx="188">
                  <c:v>44</c:v>
                </c:pt>
                <c:pt idx="189">
                  <c:v>39</c:v>
                </c:pt>
                <c:pt idx="190">
                  <c:v>59</c:v>
                </c:pt>
                <c:pt idx="191">
                  <c:v>45</c:v>
                </c:pt>
                <c:pt idx="192">
                  <c:v>48</c:v>
                </c:pt>
                <c:pt idx="193">
                  <c:v>21</c:v>
                </c:pt>
                <c:pt idx="194">
                  <c:v>27</c:v>
                </c:pt>
                <c:pt idx="195">
                  <c:v>44</c:v>
                </c:pt>
                <c:pt idx="196">
                  <c:v>18</c:v>
                </c:pt>
                <c:pt idx="197">
                  <c:v>44</c:v>
                </c:pt>
                <c:pt idx="198">
                  <c:v>44</c:v>
                </c:pt>
                <c:pt idx="199">
                  <c:v>26.5</c:v>
                </c:pt>
                <c:pt idx="200">
                  <c:v>10</c:v>
                </c:pt>
                <c:pt idx="201">
                  <c:v>39</c:v>
                </c:pt>
                <c:pt idx="202">
                  <c:v>38</c:v>
                </c:pt>
                <c:pt idx="203">
                  <c:v>28</c:v>
                </c:pt>
                <c:pt idx="204">
                  <c:v>30</c:v>
                </c:pt>
                <c:pt idx="205">
                  <c:v>50.5</c:v>
                </c:pt>
                <c:pt idx="206">
                  <c:v>51</c:v>
                </c:pt>
                <c:pt idx="207">
                  <c:v>23</c:v>
                </c:pt>
                <c:pt idx="208">
                  <c:v>23</c:v>
                </c:pt>
                <c:pt idx="209">
                  <c:v>12</c:v>
                </c:pt>
                <c:pt idx="210">
                  <c:v>58</c:v>
                </c:pt>
                <c:pt idx="211">
                  <c:v>44</c:v>
                </c:pt>
                <c:pt idx="212">
                  <c:v>35.5</c:v>
                </c:pt>
                <c:pt idx="213">
                  <c:v>47</c:v>
                </c:pt>
                <c:pt idx="214">
                  <c:v>31.5</c:v>
                </c:pt>
                <c:pt idx="215">
                  <c:v>13</c:v>
                </c:pt>
                <c:pt idx="216">
                  <c:v>31</c:v>
                </c:pt>
                <c:pt idx="217">
                  <c:v>39</c:v>
                </c:pt>
                <c:pt idx="218">
                  <c:v>26</c:v>
                </c:pt>
                <c:pt idx="219">
                  <c:v>42</c:v>
                </c:pt>
                <c:pt idx="220">
                  <c:v>55</c:v>
                </c:pt>
                <c:pt idx="221">
                  <c:v>10</c:v>
                </c:pt>
                <c:pt idx="222">
                  <c:v>60</c:v>
                </c:pt>
                <c:pt idx="223">
                  <c:v>27</c:v>
                </c:pt>
                <c:pt idx="224">
                  <c:v>52</c:v>
                </c:pt>
                <c:pt idx="225">
                  <c:v>30</c:v>
                </c:pt>
                <c:pt idx="226">
                  <c:v>11</c:v>
                </c:pt>
                <c:pt idx="227">
                  <c:v>36</c:v>
                </c:pt>
                <c:pt idx="228">
                  <c:v>42.5</c:v>
                </c:pt>
                <c:pt idx="229">
                  <c:v>39</c:v>
                </c:pt>
                <c:pt idx="230">
                  <c:v>49.5</c:v>
                </c:pt>
                <c:pt idx="231">
                  <c:v>34</c:v>
                </c:pt>
                <c:pt idx="232">
                  <c:v>26.666666666666668</c:v>
                </c:pt>
                <c:pt idx="233">
                  <c:v>40</c:v>
                </c:pt>
                <c:pt idx="234">
                  <c:v>50</c:v>
                </c:pt>
                <c:pt idx="235">
                  <c:v>37</c:v>
                </c:pt>
                <c:pt idx="236">
                  <c:v>31</c:v>
                </c:pt>
                <c:pt idx="237">
                  <c:v>36.666666666666664</c:v>
                </c:pt>
                <c:pt idx="238">
                  <c:v>37.5</c:v>
                </c:pt>
                <c:pt idx="239">
                  <c:v>42.5</c:v>
                </c:pt>
                <c:pt idx="240">
                  <c:v>43</c:v>
                </c:pt>
                <c:pt idx="241">
                  <c:v>34.5</c:v>
                </c:pt>
                <c:pt idx="242">
                  <c:v>22</c:v>
                </c:pt>
                <c:pt idx="243">
                  <c:v>43</c:v>
                </c:pt>
              </c:numCache>
            </c:numRef>
          </c:val>
          <c:extLst>
            <c:ext xmlns:c16="http://schemas.microsoft.com/office/drawing/2014/chart" uri="{C3380CC4-5D6E-409C-BE32-E72D297353CC}">
              <c16:uniqueId val="{00000000-9CB6-462E-8835-141A3271F07F}"/>
            </c:ext>
          </c:extLst>
        </c:ser>
        <c:dLbls>
          <c:showLegendKey val="0"/>
          <c:showVal val="0"/>
          <c:showCatName val="0"/>
          <c:showSerName val="0"/>
          <c:showPercent val="0"/>
          <c:showBubbleSize val="0"/>
        </c:dLbls>
        <c:axId val="1441386624"/>
        <c:axId val="1441376064"/>
      </c:areaChart>
      <c:catAx>
        <c:axId val="144138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376064"/>
        <c:crosses val="autoZero"/>
        <c:auto val="1"/>
        <c:lblAlgn val="ctr"/>
        <c:lblOffset val="100"/>
        <c:noMultiLvlLbl val="0"/>
      </c:catAx>
      <c:valAx>
        <c:axId val="144137606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3866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Dashboard.xlsx]Data!PivotTable6</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Satisfaction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Data!$S$1</c:f>
              <c:strCache>
                <c:ptCount val="1"/>
                <c:pt idx="0">
                  <c:v>Total</c:v>
                </c:pt>
              </c:strCache>
            </c:strRef>
          </c:tx>
          <c:spPr>
            <a:solidFill>
              <a:schemeClr val="accent6">
                <a:lumMod val="60000"/>
                <a:lumOff val="40000"/>
              </a:schemeClr>
            </a:solidFill>
            <a:ln>
              <a:solidFill>
                <a:schemeClr val="accent6">
                  <a:lumMod val="60000"/>
                  <a:lumOff val="40000"/>
                </a:schemeClr>
              </a:solidFill>
            </a:ln>
            <a:effectLst/>
          </c:spPr>
          <c:cat>
            <c:strRef>
              <c:f>Data!$R$2:$R$246</c:f>
              <c:strCache>
                <c:ptCount val="244"/>
                <c:pt idx="0">
                  <c:v>01-01-2024</c:v>
                </c:pt>
                <c:pt idx="1">
                  <c:v>03-01-2024</c:v>
                </c:pt>
                <c:pt idx="2">
                  <c:v>08-01-2024</c:v>
                </c:pt>
                <c:pt idx="3">
                  <c:v>13-01-2024</c:v>
                </c:pt>
                <c:pt idx="4">
                  <c:v>15-01-2024</c:v>
                </c:pt>
                <c:pt idx="5">
                  <c:v>21-01-2024</c:v>
                </c:pt>
                <c:pt idx="6">
                  <c:v>31-01-2024</c:v>
                </c:pt>
                <c:pt idx="7">
                  <c:v>28-02-2024</c:v>
                </c:pt>
                <c:pt idx="8">
                  <c:v>03-03-2024</c:v>
                </c:pt>
                <c:pt idx="9">
                  <c:v>06-03-2024</c:v>
                </c:pt>
                <c:pt idx="10">
                  <c:v>08-03-2024</c:v>
                </c:pt>
                <c:pt idx="11">
                  <c:v>13-03-2024</c:v>
                </c:pt>
                <c:pt idx="12">
                  <c:v>14-03-2024</c:v>
                </c:pt>
                <c:pt idx="13">
                  <c:v>17-03-2024</c:v>
                </c:pt>
                <c:pt idx="14">
                  <c:v>19-03-2024</c:v>
                </c:pt>
                <c:pt idx="15">
                  <c:v>21-03-2024</c:v>
                </c:pt>
                <c:pt idx="16">
                  <c:v>22-03-2024</c:v>
                </c:pt>
                <c:pt idx="17">
                  <c:v>24-03-2024</c:v>
                </c:pt>
                <c:pt idx="18">
                  <c:v>25-03-2024</c:v>
                </c:pt>
                <c:pt idx="19">
                  <c:v>26-03-2024</c:v>
                </c:pt>
                <c:pt idx="20">
                  <c:v>27-03-2024</c:v>
                </c:pt>
                <c:pt idx="21">
                  <c:v>28-03-2024</c:v>
                </c:pt>
                <c:pt idx="22">
                  <c:v>29-03-2024</c:v>
                </c:pt>
                <c:pt idx="23">
                  <c:v>31-03-2024</c:v>
                </c:pt>
                <c:pt idx="24">
                  <c:v>03-04-2024</c:v>
                </c:pt>
                <c:pt idx="25">
                  <c:v>04-04-2024</c:v>
                </c:pt>
                <c:pt idx="26">
                  <c:v>13-04-2024</c:v>
                </c:pt>
                <c:pt idx="27">
                  <c:v>23-04-2024</c:v>
                </c:pt>
                <c:pt idx="28">
                  <c:v>25-04-2024</c:v>
                </c:pt>
                <c:pt idx="29">
                  <c:v>27-04-2024</c:v>
                </c:pt>
                <c:pt idx="30">
                  <c:v>03-05-2024</c:v>
                </c:pt>
                <c:pt idx="31">
                  <c:v>08-05-2024</c:v>
                </c:pt>
                <c:pt idx="32">
                  <c:v>13-05-2024</c:v>
                </c:pt>
                <c:pt idx="33">
                  <c:v>14-05-2024</c:v>
                </c:pt>
                <c:pt idx="34">
                  <c:v>17-05-2024</c:v>
                </c:pt>
                <c:pt idx="35">
                  <c:v>19-05-2024</c:v>
                </c:pt>
                <c:pt idx="36">
                  <c:v>21-05-2024</c:v>
                </c:pt>
                <c:pt idx="37">
                  <c:v>24-05-2024</c:v>
                </c:pt>
                <c:pt idx="38">
                  <c:v>25-05-2024</c:v>
                </c:pt>
                <c:pt idx="39">
                  <c:v>26-05-2024</c:v>
                </c:pt>
                <c:pt idx="40">
                  <c:v>27-05-2024</c:v>
                </c:pt>
                <c:pt idx="41">
                  <c:v>28-05-2024</c:v>
                </c:pt>
                <c:pt idx="42">
                  <c:v>29-05-2024</c:v>
                </c:pt>
                <c:pt idx="43">
                  <c:v>31-05-2024</c:v>
                </c:pt>
                <c:pt idx="44">
                  <c:v>03-06-2024</c:v>
                </c:pt>
                <c:pt idx="45">
                  <c:v>08-06-2024</c:v>
                </c:pt>
                <c:pt idx="46">
                  <c:v>13-06-2024</c:v>
                </c:pt>
                <c:pt idx="47">
                  <c:v>14-06-2024</c:v>
                </c:pt>
                <c:pt idx="48">
                  <c:v>17-06-2024</c:v>
                </c:pt>
                <c:pt idx="49">
                  <c:v>19-06-2024</c:v>
                </c:pt>
                <c:pt idx="50">
                  <c:v>21-06-2024</c:v>
                </c:pt>
                <c:pt idx="51">
                  <c:v>24-06-2024</c:v>
                </c:pt>
                <c:pt idx="52">
                  <c:v>25-06-2024</c:v>
                </c:pt>
                <c:pt idx="53">
                  <c:v>26-06-2024</c:v>
                </c:pt>
                <c:pt idx="54">
                  <c:v>27-06-2024</c:v>
                </c:pt>
                <c:pt idx="55">
                  <c:v>28-06-2024</c:v>
                </c:pt>
                <c:pt idx="56">
                  <c:v>29-06-2024</c:v>
                </c:pt>
                <c:pt idx="57">
                  <c:v>17-07-2024</c:v>
                </c:pt>
                <c:pt idx="58">
                  <c:v>19-07-2024</c:v>
                </c:pt>
                <c:pt idx="59">
                  <c:v>26-07-2024</c:v>
                </c:pt>
                <c:pt idx="60">
                  <c:v>29-07-2024</c:v>
                </c:pt>
                <c:pt idx="61">
                  <c:v>03-08-2024</c:v>
                </c:pt>
                <c:pt idx="62">
                  <c:v>07-08-2024</c:v>
                </c:pt>
                <c:pt idx="63">
                  <c:v>08-08-2024</c:v>
                </c:pt>
                <c:pt idx="64">
                  <c:v>13-08-2024</c:v>
                </c:pt>
                <c:pt idx="65">
                  <c:v>14-08-2024</c:v>
                </c:pt>
                <c:pt idx="66">
                  <c:v>17-08-2024</c:v>
                </c:pt>
                <c:pt idx="67">
                  <c:v>19-08-2024</c:v>
                </c:pt>
                <c:pt idx="68">
                  <c:v>21-08-2024</c:v>
                </c:pt>
                <c:pt idx="69">
                  <c:v>24-08-2024</c:v>
                </c:pt>
                <c:pt idx="70">
                  <c:v>25-08-2024</c:v>
                </c:pt>
                <c:pt idx="71">
                  <c:v>26-08-2024</c:v>
                </c:pt>
                <c:pt idx="72">
                  <c:v>27-08-2024</c:v>
                </c:pt>
                <c:pt idx="73">
                  <c:v>28-08-2024</c:v>
                </c:pt>
                <c:pt idx="74">
                  <c:v>29-08-2024</c:v>
                </c:pt>
                <c:pt idx="75">
                  <c:v>30-08-2024</c:v>
                </c:pt>
                <c:pt idx="76">
                  <c:v>31-08-2024</c:v>
                </c:pt>
                <c:pt idx="77">
                  <c:v>03-09-2024</c:v>
                </c:pt>
                <c:pt idx="78">
                  <c:v>08-09-2024</c:v>
                </c:pt>
                <c:pt idx="79">
                  <c:v>13-09-2024</c:v>
                </c:pt>
                <c:pt idx="80">
                  <c:v>14-09-2024</c:v>
                </c:pt>
                <c:pt idx="81">
                  <c:v>19-09-2024</c:v>
                </c:pt>
                <c:pt idx="82">
                  <c:v>21-09-2024</c:v>
                </c:pt>
                <c:pt idx="83">
                  <c:v>24-09-2024</c:v>
                </c:pt>
                <c:pt idx="84">
                  <c:v>25-09-2024</c:v>
                </c:pt>
                <c:pt idx="85">
                  <c:v>27-09-2024</c:v>
                </c:pt>
                <c:pt idx="86">
                  <c:v>28-09-2024</c:v>
                </c:pt>
                <c:pt idx="87">
                  <c:v>29-09-2024</c:v>
                </c:pt>
                <c:pt idx="88">
                  <c:v>03-10-2024</c:v>
                </c:pt>
                <c:pt idx="89">
                  <c:v>08-10-2024</c:v>
                </c:pt>
                <c:pt idx="90">
                  <c:v>09-10-2024</c:v>
                </c:pt>
                <c:pt idx="91">
                  <c:v>13-10-2024</c:v>
                </c:pt>
                <c:pt idx="92">
                  <c:v>14-10-2024</c:v>
                </c:pt>
                <c:pt idx="93">
                  <c:v>17-10-2024</c:v>
                </c:pt>
                <c:pt idx="94">
                  <c:v>19-10-2024</c:v>
                </c:pt>
                <c:pt idx="95">
                  <c:v>24-10-2024</c:v>
                </c:pt>
                <c:pt idx="96">
                  <c:v>25-10-2024</c:v>
                </c:pt>
                <c:pt idx="97">
                  <c:v>26-10-2024</c:v>
                </c:pt>
                <c:pt idx="98">
                  <c:v>27-10-2024</c:v>
                </c:pt>
                <c:pt idx="99">
                  <c:v>28-10-2024</c:v>
                </c:pt>
                <c:pt idx="100">
                  <c:v>29-10-2024</c:v>
                </c:pt>
                <c:pt idx="101">
                  <c:v>31-10-2024</c:v>
                </c:pt>
                <c:pt idx="102">
                  <c:v>14-11-2024</c:v>
                </c:pt>
                <c:pt idx="103">
                  <c:v>02-12-2024</c:v>
                </c:pt>
                <c:pt idx="104">
                  <c:v>03-12-2024</c:v>
                </c:pt>
                <c:pt idx="105">
                  <c:v>08-12-2024</c:v>
                </c:pt>
                <c:pt idx="106">
                  <c:v>09-12-2024</c:v>
                </c:pt>
                <c:pt idx="107">
                  <c:v>11-12-2024</c:v>
                </c:pt>
                <c:pt idx="108">
                  <c:v>13-12-2024</c:v>
                </c:pt>
                <c:pt idx="109">
                  <c:v>14-12-2024</c:v>
                </c:pt>
                <c:pt idx="110">
                  <c:v>17-12-2024</c:v>
                </c:pt>
                <c:pt idx="111">
                  <c:v>19-12-2024</c:v>
                </c:pt>
                <c:pt idx="112">
                  <c:v>21-12-2024</c:v>
                </c:pt>
                <c:pt idx="113">
                  <c:v>24-12-2024</c:v>
                </c:pt>
                <c:pt idx="114">
                  <c:v>25-12-2024</c:v>
                </c:pt>
                <c:pt idx="115">
                  <c:v>26-12-2024</c:v>
                </c:pt>
                <c:pt idx="116">
                  <c:v>27-12-2024</c:v>
                </c:pt>
                <c:pt idx="117">
                  <c:v>28-12-2024</c:v>
                </c:pt>
                <c:pt idx="118">
                  <c:v>29-12-2024</c:v>
                </c:pt>
                <c:pt idx="119">
                  <c:v>31-12-2024</c:v>
                </c:pt>
                <c:pt idx="120">
                  <c:v>04-01-2025</c:v>
                </c:pt>
                <c:pt idx="121">
                  <c:v>06-01-2025</c:v>
                </c:pt>
                <c:pt idx="122">
                  <c:v>07-01-2025</c:v>
                </c:pt>
                <c:pt idx="123">
                  <c:v>11-01-2025</c:v>
                </c:pt>
                <c:pt idx="124">
                  <c:v>12-01-2025</c:v>
                </c:pt>
                <c:pt idx="125">
                  <c:v>16-01-2025</c:v>
                </c:pt>
                <c:pt idx="126">
                  <c:v>17-01-2025</c:v>
                </c:pt>
                <c:pt idx="127">
                  <c:v>24-01-2025</c:v>
                </c:pt>
                <c:pt idx="128">
                  <c:v>30-01-2025</c:v>
                </c:pt>
                <c:pt idx="129">
                  <c:v>02-02-2025</c:v>
                </c:pt>
                <c:pt idx="130">
                  <c:v>03-02-2025</c:v>
                </c:pt>
                <c:pt idx="131">
                  <c:v>07-02-2025</c:v>
                </c:pt>
                <c:pt idx="132">
                  <c:v>09-02-2025</c:v>
                </c:pt>
                <c:pt idx="133">
                  <c:v>10-02-2025</c:v>
                </c:pt>
                <c:pt idx="134">
                  <c:v>11-02-2025</c:v>
                </c:pt>
                <c:pt idx="135">
                  <c:v>12-02-2025</c:v>
                </c:pt>
                <c:pt idx="136">
                  <c:v>15-02-2025</c:v>
                </c:pt>
                <c:pt idx="137">
                  <c:v>16-02-2025</c:v>
                </c:pt>
                <c:pt idx="138">
                  <c:v>18-02-2025</c:v>
                </c:pt>
                <c:pt idx="139">
                  <c:v>20-02-2025</c:v>
                </c:pt>
                <c:pt idx="140">
                  <c:v>22-02-2025</c:v>
                </c:pt>
                <c:pt idx="141">
                  <c:v>02-03-2025</c:v>
                </c:pt>
                <c:pt idx="142">
                  <c:v>07-03-2025</c:v>
                </c:pt>
                <c:pt idx="143">
                  <c:v>10-03-2025</c:v>
                </c:pt>
                <c:pt idx="144">
                  <c:v>11-03-2025</c:v>
                </c:pt>
                <c:pt idx="145">
                  <c:v>16-03-2025</c:v>
                </c:pt>
                <c:pt idx="146">
                  <c:v>02-04-2025</c:v>
                </c:pt>
                <c:pt idx="147">
                  <c:v>04-04-2025</c:v>
                </c:pt>
                <c:pt idx="148">
                  <c:v>06-04-2025</c:v>
                </c:pt>
                <c:pt idx="149">
                  <c:v>07-04-2025</c:v>
                </c:pt>
                <c:pt idx="150">
                  <c:v>09-04-2025</c:v>
                </c:pt>
                <c:pt idx="151">
                  <c:v>10-04-2025</c:v>
                </c:pt>
                <c:pt idx="152">
                  <c:v>11-04-2025</c:v>
                </c:pt>
                <c:pt idx="153">
                  <c:v>12-04-2025</c:v>
                </c:pt>
                <c:pt idx="154">
                  <c:v>15-04-2025</c:v>
                </c:pt>
                <c:pt idx="155">
                  <c:v>17-04-2025</c:v>
                </c:pt>
                <c:pt idx="156">
                  <c:v>18-04-2025</c:v>
                </c:pt>
                <c:pt idx="157">
                  <c:v>20-04-2025</c:v>
                </c:pt>
                <c:pt idx="158">
                  <c:v>22-04-2025</c:v>
                </c:pt>
                <c:pt idx="159">
                  <c:v>30-04-2025</c:v>
                </c:pt>
                <c:pt idx="160">
                  <c:v>02-05-2025</c:v>
                </c:pt>
                <c:pt idx="161">
                  <c:v>04-05-2025</c:v>
                </c:pt>
                <c:pt idx="162">
                  <c:v>05-05-2025</c:v>
                </c:pt>
                <c:pt idx="163">
                  <c:v>06-05-2025</c:v>
                </c:pt>
                <c:pt idx="164">
                  <c:v>09-05-2025</c:v>
                </c:pt>
                <c:pt idx="165">
                  <c:v>10-05-2025</c:v>
                </c:pt>
                <c:pt idx="166">
                  <c:v>12-05-2025</c:v>
                </c:pt>
                <c:pt idx="167">
                  <c:v>15-05-2025</c:v>
                </c:pt>
                <c:pt idx="168">
                  <c:v>16-05-2025</c:v>
                </c:pt>
                <c:pt idx="169">
                  <c:v>18-05-2025</c:v>
                </c:pt>
                <c:pt idx="170">
                  <c:v>20-05-2025</c:v>
                </c:pt>
                <c:pt idx="171">
                  <c:v>22-05-2025</c:v>
                </c:pt>
                <c:pt idx="172">
                  <c:v>30-05-2025</c:v>
                </c:pt>
                <c:pt idx="173">
                  <c:v>11-06-2025</c:v>
                </c:pt>
                <c:pt idx="174">
                  <c:v>16-06-2025</c:v>
                </c:pt>
                <c:pt idx="175">
                  <c:v>18-06-2025</c:v>
                </c:pt>
                <c:pt idx="176">
                  <c:v>20-06-2025</c:v>
                </c:pt>
                <c:pt idx="177">
                  <c:v>22-06-2025</c:v>
                </c:pt>
                <c:pt idx="178">
                  <c:v>27-06-2025</c:v>
                </c:pt>
                <c:pt idx="179">
                  <c:v>02-07-2025</c:v>
                </c:pt>
                <c:pt idx="180">
                  <c:v>04-07-2025</c:v>
                </c:pt>
                <c:pt idx="181">
                  <c:v>06-07-2025</c:v>
                </c:pt>
                <c:pt idx="182">
                  <c:v>07-07-2025</c:v>
                </c:pt>
                <c:pt idx="183">
                  <c:v>08-07-2025</c:v>
                </c:pt>
                <c:pt idx="184">
                  <c:v>09-07-2025</c:v>
                </c:pt>
                <c:pt idx="185">
                  <c:v>10-07-2025</c:v>
                </c:pt>
                <c:pt idx="186">
                  <c:v>11-07-2025</c:v>
                </c:pt>
                <c:pt idx="187">
                  <c:v>12-07-2025</c:v>
                </c:pt>
                <c:pt idx="188">
                  <c:v>15-07-2025</c:v>
                </c:pt>
                <c:pt idx="189">
                  <c:v>16-07-2025</c:v>
                </c:pt>
                <c:pt idx="190">
                  <c:v>18-07-2025</c:v>
                </c:pt>
                <c:pt idx="191">
                  <c:v>20-07-2025</c:v>
                </c:pt>
                <c:pt idx="192">
                  <c:v>22-07-2025</c:v>
                </c:pt>
                <c:pt idx="193">
                  <c:v>30-07-2025</c:v>
                </c:pt>
                <c:pt idx="194">
                  <c:v>31-07-2025</c:v>
                </c:pt>
                <c:pt idx="195">
                  <c:v>06-08-2025</c:v>
                </c:pt>
                <c:pt idx="196">
                  <c:v>18-08-2025</c:v>
                </c:pt>
                <c:pt idx="197">
                  <c:v>22-08-2025</c:v>
                </c:pt>
                <c:pt idx="198">
                  <c:v>02-09-2025</c:v>
                </c:pt>
                <c:pt idx="199">
                  <c:v>04-09-2025</c:v>
                </c:pt>
                <c:pt idx="200">
                  <c:v>06-09-2025</c:v>
                </c:pt>
                <c:pt idx="201">
                  <c:v>07-09-2025</c:v>
                </c:pt>
                <c:pt idx="202">
                  <c:v>09-09-2025</c:v>
                </c:pt>
                <c:pt idx="203">
                  <c:v>10-09-2025</c:v>
                </c:pt>
                <c:pt idx="204">
                  <c:v>11-09-2025</c:v>
                </c:pt>
                <c:pt idx="205">
                  <c:v>12-09-2025</c:v>
                </c:pt>
                <c:pt idx="206">
                  <c:v>15-09-2025</c:v>
                </c:pt>
                <c:pt idx="207">
                  <c:v>16-09-2025</c:v>
                </c:pt>
                <c:pt idx="208">
                  <c:v>18-09-2025</c:v>
                </c:pt>
                <c:pt idx="209">
                  <c:v>20-09-2025</c:v>
                </c:pt>
                <c:pt idx="210">
                  <c:v>22-09-2025</c:v>
                </c:pt>
                <c:pt idx="211">
                  <c:v>28-09-2025</c:v>
                </c:pt>
                <c:pt idx="212">
                  <c:v>30-09-2025</c:v>
                </c:pt>
                <c:pt idx="213">
                  <c:v>02-10-2025</c:v>
                </c:pt>
                <c:pt idx="214">
                  <c:v>04-10-2025</c:v>
                </c:pt>
                <c:pt idx="215">
                  <c:v>05-10-2025</c:v>
                </c:pt>
                <c:pt idx="216">
                  <c:v>06-10-2025</c:v>
                </c:pt>
                <c:pt idx="217">
                  <c:v>07-10-2025</c:v>
                </c:pt>
                <c:pt idx="218">
                  <c:v>09-10-2025</c:v>
                </c:pt>
                <c:pt idx="219">
                  <c:v>10-10-2025</c:v>
                </c:pt>
                <c:pt idx="220">
                  <c:v>11-10-2025</c:v>
                </c:pt>
                <c:pt idx="221">
                  <c:v>12-10-2025</c:v>
                </c:pt>
                <c:pt idx="222">
                  <c:v>15-10-2025</c:v>
                </c:pt>
                <c:pt idx="223">
                  <c:v>16-10-2025</c:v>
                </c:pt>
                <c:pt idx="224">
                  <c:v>18-10-2025</c:v>
                </c:pt>
                <c:pt idx="225">
                  <c:v>20-10-2025</c:v>
                </c:pt>
                <c:pt idx="226">
                  <c:v>22-10-2025</c:v>
                </c:pt>
                <c:pt idx="227">
                  <c:v>30-10-2025</c:v>
                </c:pt>
                <c:pt idx="228">
                  <c:v>02-11-2025</c:v>
                </c:pt>
                <c:pt idx="229">
                  <c:v>04-11-2025</c:v>
                </c:pt>
                <c:pt idx="230">
                  <c:v>06-11-2025</c:v>
                </c:pt>
                <c:pt idx="231">
                  <c:v>07-11-2025</c:v>
                </c:pt>
                <c:pt idx="232">
                  <c:v>09-11-2025</c:v>
                </c:pt>
                <c:pt idx="233">
                  <c:v>10-11-2025</c:v>
                </c:pt>
                <c:pt idx="234">
                  <c:v>11-11-2025</c:v>
                </c:pt>
                <c:pt idx="235">
                  <c:v>12-11-2025</c:v>
                </c:pt>
                <c:pt idx="236">
                  <c:v>15-11-2025</c:v>
                </c:pt>
                <c:pt idx="237">
                  <c:v>16-11-2025</c:v>
                </c:pt>
                <c:pt idx="238">
                  <c:v>18-11-2025</c:v>
                </c:pt>
                <c:pt idx="239">
                  <c:v>20-11-2025</c:v>
                </c:pt>
                <c:pt idx="240">
                  <c:v>21-11-2025</c:v>
                </c:pt>
                <c:pt idx="241">
                  <c:v>22-11-2025</c:v>
                </c:pt>
                <c:pt idx="242">
                  <c:v>25-11-2025</c:v>
                </c:pt>
                <c:pt idx="243">
                  <c:v>30-11-2025</c:v>
                </c:pt>
              </c:strCache>
            </c:strRef>
          </c:cat>
          <c:val>
            <c:numRef>
              <c:f>Data!$S$2:$S$246</c:f>
              <c:numCache>
                <c:formatCode>0.00</c:formatCode>
                <c:ptCount val="244"/>
                <c:pt idx="0">
                  <c:v>9</c:v>
                </c:pt>
                <c:pt idx="1">
                  <c:v>7</c:v>
                </c:pt>
                <c:pt idx="2">
                  <c:v>0</c:v>
                </c:pt>
                <c:pt idx="3">
                  <c:v>0</c:v>
                </c:pt>
                <c:pt idx="4">
                  <c:v>10</c:v>
                </c:pt>
                <c:pt idx="5">
                  <c:v>0</c:v>
                </c:pt>
                <c:pt idx="6">
                  <c:v>5</c:v>
                </c:pt>
                <c:pt idx="7">
                  <c:v>10</c:v>
                </c:pt>
                <c:pt idx="8">
                  <c:v>7</c:v>
                </c:pt>
                <c:pt idx="9">
                  <c:v>1</c:v>
                </c:pt>
                <c:pt idx="10">
                  <c:v>7</c:v>
                </c:pt>
                <c:pt idx="11">
                  <c:v>10</c:v>
                </c:pt>
                <c:pt idx="12">
                  <c:v>7</c:v>
                </c:pt>
                <c:pt idx="13">
                  <c:v>5</c:v>
                </c:pt>
                <c:pt idx="14">
                  <c:v>7</c:v>
                </c:pt>
                <c:pt idx="15">
                  <c:v>8</c:v>
                </c:pt>
                <c:pt idx="16">
                  <c:v>10</c:v>
                </c:pt>
                <c:pt idx="17">
                  <c:v>0</c:v>
                </c:pt>
                <c:pt idx="18">
                  <c:v>1</c:v>
                </c:pt>
                <c:pt idx="19">
                  <c:v>7</c:v>
                </c:pt>
                <c:pt idx="20">
                  <c:v>8</c:v>
                </c:pt>
                <c:pt idx="21">
                  <c:v>2</c:v>
                </c:pt>
                <c:pt idx="22">
                  <c:v>4</c:v>
                </c:pt>
                <c:pt idx="23">
                  <c:v>0</c:v>
                </c:pt>
                <c:pt idx="24">
                  <c:v>2</c:v>
                </c:pt>
                <c:pt idx="25">
                  <c:v>1</c:v>
                </c:pt>
                <c:pt idx="26">
                  <c:v>9</c:v>
                </c:pt>
                <c:pt idx="27">
                  <c:v>1</c:v>
                </c:pt>
                <c:pt idx="28">
                  <c:v>2</c:v>
                </c:pt>
                <c:pt idx="29">
                  <c:v>1</c:v>
                </c:pt>
                <c:pt idx="30">
                  <c:v>6</c:v>
                </c:pt>
                <c:pt idx="31">
                  <c:v>0</c:v>
                </c:pt>
                <c:pt idx="32">
                  <c:v>8</c:v>
                </c:pt>
                <c:pt idx="33">
                  <c:v>9</c:v>
                </c:pt>
                <c:pt idx="34">
                  <c:v>0</c:v>
                </c:pt>
                <c:pt idx="35">
                  <c:v>6</c:v>
                </c:pt>
                <c:pt idx="36">
                  <c:v>3</c:v>
                </c:pt>
                <c:pt idx="37">
                  <c:v>4</c:v>
                </c:pt>
                <c:pt idx="38">
                  <c:v>1</c:v>
                </c:pt>
                <c:pt idx="39">
                  <c:v>7</c:v>
                </c:pt>
                <c:pt idx="40">
                  <c:v>7</c:v>
                </c:pt>
                <c:pt idx="41">
                  <c:v>4</c:v>
                </c:pt>
                <c:pt idx="42">
                  <c:v>10</c:v>
                </c:pt>
                <c:pt idx="43">
                  <c:v>8</c:v>
                </c:pt>
                <c:pt idx="44">
                  <c:v>8</c:v>
                </c:pt>
                <c:pt idx="45">
                  <c:v>0</c:v>
                </c:pt>
                <c:pt idx="46">
                  <c:v>2.5</c:v>
                </c:pt>
                <c:pt idx="47">
                  <c:v>0</c:v>
                </c:pt>
                <c:pt idx="48">
                  <c:v>10</c:v>
                </c:pt>
                <c:pt idx="49">
                  <c:v>0.5</c:v>
                </c:pt>
                <c:pt idx="50">
                  <c:v>2</c:v>
                </c:pt>
                <c:pt idx="51">
                  <c:v>4</c:v>
                </c:pt>
                <c:pt idx="52">
                  <c:v>5</c:v>
                </c:pt>
                <c:pt idx="53">
                  <c:v>0</c:v>
                </c:pt>
                <c:pt idx="54">
                  <c:v>0.5</c:v>
                </c:pt>
                <c:pt idx="55">
                  <c:v>5</c:v>
                </c:pt>
                <c:pt idx="56">
                  <c:v>1</c:v>
                </c:pt>
                <c:pt idx="57">
                  <c:v>10</c:v>
                </c:pt>
                <c:pt idx="58">
                  <c:v>1</c:v>
                </c:pt>
                <c:pt idx="59">
                  <c:v>6</c:v>
                </c:pt>
                <c:pt idx="60">
                  <c:v>2</c:v>
                </c:pt>
                <c:pt idx="61">
                  <c:v>4</c:v>
                </c:pt>
                <c:pt idx="62">
                  <c:v>5</c:v>
                </c:pt>
                <c:pt idx="63">
                  <c:v>5.5</c:v>
                </c:pt>
                <c:pt idx="64">
                  <c:v>2</c:v>
                </c:pt>
                <c:pt idx="65">
                  <c:v>7</c:v>
                </c:pt>
                <c:pt idx="66">
                  <c:v>7.5</c:v>
                </c:pt>
                <c:pt idx="67">
                  <c:v>5</c:v>
                </c:pt>
                <c:pt idx="68">
                  <c:v>9</c:v>
                </c:pt>
                <c:pt idx="69">
                  <c:v>0</c:v>
                </c:pt>
                <c:pt idx="70">
                  <c:v>9</c:v>
                </c:pt>
                <c:pt idx="71">
                  <c:v>3</c:v>
                </c:pt>
                <c:pt idx="72">
                  <c:v>2</c:v>
                </c:pt>
                <c:pt idx="73">
                  <c:v>0</c:v>
                </c:pt>
                <c:pt idx="74">
                  <c:v>8.5</c:v>
                </c:pt>
                <c:pt idx="75">
                  <c:v>4</c:v>
                </c:pt>
                <c:pt idx="76">
                  <c:v>7</c:v>
                </c:pt>
                <c:pt idx="77">
                  <c:v>7</c:v>
                </c:pt>
                <c:pt idx="78">
                  <c:v>0</c:v>
                </c:pt>
                <c:pt idx="79">
                  <c:v>10</c:v>
                </c:pt>
                <c:pt idx="80">
                  <c:v>2</c:v>
                </c:pt>
                <c:pt idx="81">
                  <c:v>7</c:v>
                </c:pt>
                <c:pt idx="82">
                  <c:v>2</c:v>
                </c:pt>
                <c:pt idx="83">
                  <c:v>2</c:v>
                </c:pt>
                <c:pt idx="84">
                  <c:v>6</c:v>
                </c:pt>
                <c:pt idx="85">
                  <c:v>0</c:v>
                </c:pt>
                <c:pt idx="86">
                  <c:v>3</c:v>
                </c:pt>
                <c:pt idx="87">
                  <c:v>0</c:v>
                </c:pt>
                <c:pt idx="88">
                  <c:v>4</c:v>
                </c:pt>
                <c:pt idx="89">
                  <c:v>9</c:v>
                </c:pt>
                <c:pt idx="90">
                  <c:v>2</c:v>
                </c:pt>
                <c:pt idx="91">
                  <c:v>6</c:v>
                </c:pt>
                <c:pt idx="92">
                  <c:v>0</c:v>
                </c:pt>
                <c:pt idx="93">
                  <c:v>6</c:v>
                </c:pt>
                <c:pt idx="94">
                  <c:v>1</c:v>
                </c:pt>
                <c:pt idx="95">
                  <c:v>5.5</c:v>
                </c:pt>
                <c:pt idx="96">
                  <c:v>8</c:v>
                </c:pt>
                <c:pt idx="97">
                  <c:v>0</c:v>
                </c:pt>
                <c:pt idx="98">
                  <c:v>9</c:v>
                </c:pt>
                <c:pt idx="99">
                  <c:v>4</c:v>
                </c:pt>
                <c:pt idx="100">
                  <c:v>0</c:v>
                </c:pt>
                <c:pt idx="101">
                  <c:v>2</c:v>
                </c:pt>
                <c:pt idx="102">
                  <c:v>10</c:v>
                </c:pt>
                <c:pt idx="103">
                  <c:v>8</c:v>
                </c:pt>
                <c:pt idx="104">
                  <c:v>9</c:v>
                </c:pt>
                <c:pt idx="105">
                  <c:v>8</c:v>
                </c:pt>
                <c:pt idx="106">
                  <c:v>4</c:v>
                </c:pt>
                <c:pt idx="107">
                  <c:v>3</c:v>
                </c:pt>
                <c:pt idx="108">
                  <c:v>3.5</c:v>
                </c:pt>
                <c:pt idx="109">
                  <c:v>2.6666666666666665</c:v>
                </c:pt>
                <c:pt idx="110">
                  <c:v>4</c:v>
                </c:pt>
                <c:pt idx="111">
                  <c:v>7</c:v>
                </c:pt>
                <c:pt idx="112">
                  <c:v>3.75</c:v>
                </c:pt>
                <c:pt idx="113">
                  <c:v>6.5</c:v>
                </c:pt>
                <c:pt idx="114">
                  <c:v>7.5</c:v>
                </c:pt>
                <c:pt idx="115">
                  <c:v>4</c:v>
                </c:pt>
                <c:pt idx="116">
                  <c:v>3</c:v>
                </c:pt>
                <c:pt idx="117">
                  <c:v>6.5</c:v>
                </c:pt>
                <c:pt idx="118">
                  <c:v>5.666666666666667</c:v>
                </c:pt>
                <c:pt idx="119">
                  <c:v>5</c:v>
                </c:pt>
                <c:pt idx="120">
                  <c:v>0</c:v>
                </c:pt>
                <c:pt idx="121">
                  <c:v>0</c:v>
                </c:pt>
                <c:pt idx="122">
                  <c:v>1</c:v>
                </c:pt>
                <c:pt idx="123">
                  <c:v>6</c:v>
                </c:pt>
                <c:pt idx="124">
                  <c:v>7</c:v>
                </c:pt>
                <c:pt idx="125">
                  <c:v>9</c:v>
                </c:pt>
                <c:pt idx="126">
                  <c:v>4</c:v>
                </c:pt>
                <c:pt idx="127">
                  <c:v>7</c:v>
                </c:pt>
                <c:pt idx="128">
                  <c:v>2</c:v>
                </c:pt>
                <c:pt idx="129">
                  <c:v>6</c:v>
                </c:pt>
                <c:pt idx="130">
                  <c:v>7</c:v>
                </c:pt>
                <c:pt idx="131">
                  <c:v>6</c:v>
                </c:pt>
                <c:pt idx="132">
                  <c:v>0</c:v>
                </c:pt>
                <c:pt idx="133">
                  <c:v>7</c:v>
                </c:pt>
                <c:pt idx="134">
                  <c:v>7</c:v>
                </c:pt>
                <c:pt idx="135">
                  <c:v>10</c:v>
                </c:pt>
                <c:pt idx="136">
                  <c:v>1</c:v>
                </c:pt>
                <c:pt idx="137">
                  <c:v>8</c:v>
                </c:pt>
                <c:pt idx="138">
                  <c:v>5</c:v>
                </c:pt>
                <c:pt idx="139">
                  <c:v>3</c:v>
                </c:pt>
                <c:pt idx="140">
                  <c:v>1</c:v>
                </c:pt>
                <c:pt idx="141">
                  <c:v>4</c:v>
                </c:pt>
                <c:pt idx="142">
                  <c:v>10</c:v>
                </c:pt>
                <c:pt idx="143">
                  <c:v>0</c:v>
                </c:pt>
                <c:pt idx="144">
                  <c:v>0</c:v>
                </c:pt>
                <c:pt idx="145">
                  <c:v>1</c:v>
                </c:pt>
                <c:pt idx="146">
                  <c:v>2</c:v>
                </c:pt>
                <c:pt idx="147">
                  <c:v>8</c:v>
                </c:pt>
                <c:pt idx="148">
                  <c:v>4</c:v>
                </c:pt>
                <c:pt idx="149">
                  <c:v>7</c:v>
                </c:pt>
                <c:pt idx="150">
                  <c:v>5</c:v>
                </c:pt>
                <c:pt idx="151">
                  <c:v>9</c:v>
                </c:pt>
                <c:pt idx="152">
                  <c:v>6</c:v>
                </c:pt>
                <c:pt idx="153">
                  <c:v>10</c:v>
                </c:pt>
                <c:pt idx="154">
                  <c:v>7</c:v>
                </c:pt>
                <c:pt idx="155">
                  <c:v>7</c:v>
                </c:pt>
                <c:pt idx="156">
                  <c:v>5</c:v>
                </c:pt>
                <c:pt idx="157">
                  <c:v>4.5</c:v>
                </c:pt>
                <c:pt idx="158">
                  <c:v>1</c:v>
                </c:pt>
                <c:pt idx="159">
                  <c:v>1</c:v>
                </c:pt>
                <c:pt idx="160">
                  <c:v>0</c:v>
                </c:pt>
                <c:pt idx="161">
                  <c:v>5</c:v>
                </c:pt>
                <c:pt idx="162">
                  <c:v>9</c:v>
                </c:pt>
                <c:pt idx="163">
                  <c:v>10</c:v>
                </c:pt>
                <c:pt idx="164">
                  <c:v>0</c:v>
                </c:pt>
                <c:pt idx="165">
                  <c:v>5.5</c:v>
                </c:pt>
                <c:pt idx="166">
                  <c:v>7</c:v>
                </c:pt>
                <c:pt idx="167">
                  <c:v>6</c:v>
                </c:pt>
                <c:pt idx="168">
                  <c:v>10</c:v>
                </c:pt>
                <c:pt idx="169">
                  <c:v>6</c:v>
                </c:pt>
                <c:pt idx="170">
                  <c:v>8</c:v>
                </c:pt>
                <c:pt idx="171">
                  <c:v>0</c:v>
                </c:pt>
                <c:pt idx="172">
                  <c:v>0</c:v>
                </c:pt>
                <c:pt idx="173">
                  <c:v>7</c:v>
                </c:pt>
                <c:pt idx="174">
                  <c:v>10</c:v>
                </c:pt>
                <c:pt idx="175">
                  <c:v>1</c:v>
                </c:pt>
                <c:pt idx="176">
                  <c:v>3</c:v>
                </c:pt>
                <c:pt idx="177">
                  <c:v>0</c:v>
                </c:pt>
                <c:pt idx="178">
                  <c:v>4</c:v>
                </c:pt>
                <c:pt idx="179">
                  <c:v>4</c:v>
                </c:pt>
                <c:pt idx="180">
                  <c:v>9</c:v>
                </c:pt>
                <c:pt idx="181">
                  <c:v>6</c:v>
                </c:pt>
                <c:pt idx="182">
                  <c:v>4</c:v>
                </c:pt>
                <c:pt idx="183">
                  <c:v>1</c:v>
                </c:pt>
                <c:pt idx="184">
                  <c:v>10</c:v>
                </c:pt>
                <c:pt idx="185">
                  <c:v>4</c:v>
                </c:pt>
                <c:pt idx="186">
                  <c:v>2</c:v>
                </c:pt>
                <c:pt idx="187">
                  <c:v>9</c:v>
                </c:pt>
                <c:pt idx="188">
                  <c:v>10</c:v>
                </c:pt>
                <c:pt idx="189">
                  <c:v>6</c:v>
                </c:pt>
                <c:pt idx="190">
                  <c:v>0</c:v>
                </c:pt>
                <c:pt idx="191">
                  <c:v>0</c:v>
                </c:pt>
                <c:pt idx="192">
                  <c:v>1</c:v>
                </c:pt>
                <c:pt idx="193">
                  <c:v>7</c:v>
                </c:pt>
                <c:pt idx="194">
                  <c:v>3</c:v>
                </c:pt>
                <c:pt idx="195">
                  <c:v>3</c:v>
                </c:pt>
                <c:pt idx="196">
                  <c:v>7</c:v>
                </c:pt>
                <c:pt idx="197">
                  <c:v>6</c:v>
                </c:pt>
                <c:pt idx="198">
                  <c:v>1</c:v>
                </c:pt>
                <c:pt idx="199">
                  <c:v>5</c:v>
                </c:pt>
                <c:pt idx="200">
                  <c:v>3</c:v>
                </c:pt>
                <c:pt idx="201">
                  <c:v>7</c:v>
                </c:pt>
                <c:pt idx="202">
                  <c:v>4</c:v>
                </c:pt>
                <c:pt idx="203">
                  <c:v>3</c:v>
                </c:pt>
                <c:pt idx="204">
                  <c:v>5</c:v>
                </c:pt>
                <c:pt idx="205">
                  <c:v>7.5</c:v>
                </c:pt>
                <c:pt idx="206">
                  <c:v>6</c:v>
                </c:pt>
                <c:pt idx="207">
                  <c:v>10</c:v>
                </c:pt>
                <c:pt idx="208">
                  <c:v>5</c:v>
                </c:pt>
                <c:pt idx="209">
                  <c:v>2</c:v>
                </c:pt>
                <c:pt idx="210">
                  <c:v>2</c:v>
                </c:pt>
                <c:pt idx="211">
                  <c:v>8</c:v>
                </c:pt>
                <c:pt idx="212">
                  <c:v>2</c:v>
                </c:pt>
                <c:pt idx="213">
                  <c:v>4</c:v>
                </c:pt>
                <c:pt idx="214">
                  <c:v>4</c:v>
                </c:pt>
                <c:pt idx="215">
                  <c:v>8</c:v>
                </c:pt>
                <c:pt idx="216">
                  <c:v>7</c:v>
                </c:pt>
                <c:pt idx="217">
                  <c:v>9</c:v>
                </c:pt>
                <c:pt idx="218">
                  <c:v>9</c:v>
                </c:pt>
                <c:pt idx="219">
                  <c:v>4</c:v>
                </c:pt>
                <c:pt idx="220">
                  <c:v>0</c:v>
                </c:pt>
                <c:pt idx="221">
                  <c:v>6</c:v>
                </c:pt>
                <c:pt idx="222">
                  <c:v>5</c:v>
                </c:pt>
                <c:pt idx="223">
                  <c:v>10</c:v>
                </c:pt>
                <c:pt idx="224">
                  <c:v>1</c:v>
                </c:pt>
                <c:pt idx="225">
                  <c:v>7</c:v>
                </c:pt>
                <c:pt idx="226">
                  <c:v>5</c:v>
                </c:pt>
                <c:pt idx="227">
                  <c:v>9</c:v>
                </c:pt>
                <c:pt idx="228">
                  <c:v>6.5</c:v>
                </c:pt>
                <c:pt idx="229">
                  <c:v>4</c:v>
                </c:pt>
                <c:pt idx="230">
                  <c:v>0.5</c:v>
                </c:pt>
                <c:pt idx="231">
                  <c:v>4</c:v>
                </c:pt>
                <c:pt idx="232">
                  <c:v>3.6666666666666665</c:v>
                </c:pt>
                <c:pt idx="233">
                  <c:v>9</c:v>
                </c:pt>
                <c:pt idx="234">
                  <c:v>2.5</c:v>
                </c:pt>
                <c:pt idx="235">
                  <c:v>3</c:v>
                </c:pt>
                <c:pt idx="236">
                  <c:v>7.25</c:v>
                </c:pt>
                <c:pt idx="237">
                  <c:v>4.666666666666667</c:v>
                </c:pt>
                <c:pt idx="238">
                  <c:v>4</c:v>
                </c:pt>
                <c:pt idx="239">
                  <c:v>3</c:v>
                </c:pt>
                <c:pt idx="240">
                  <c:v>6</c:v>
                </c:pt>
                <c:pt idx="241">
                  <c:v>7</c:v>
                </c:pt>
                <c:pt idx="242">
                  <c:v>5</c:v>
                </c:pt>
                <c:pt idx="243">
                  <c:v>1.3333333333333333</c:v>
                </c:pt>
              </c:numCache>
            </c:numRef>
          </c:val>
          <c:extLst>
            <c:ext xmlns:c16="http://schemas.microsoft.com/office/drawing/2014/chart" uri="{C3380CC4-5D6E-409C-BE32-E72D297353CC}">
              <c16:uniqueId val="{00000002-95A3-49EC-8591-7A35ABBF8279}"/>
            </c:ext>
          </c:extLst>
        </c:ser>
        <c:dLbls>
          <c:showLegendKey val="0"/>
          <c:showVal val="0"/>
          <c:showCatName val="0"/>
          <c:showSerName val="0"/>
          <c:showPercent val="0"/>
          <c:showBubbleSize val="0"/>
        </c:dLbls>
        <c:axId val="1003017599"/>
        <c:axId val="1003016159"/>
      </c:areaChart>
      <c:catAx>
        <c:axId val="10030175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016159"/>
        <c:crosses val="autoZero"/>
        <c:auto val="1"/>
        <c:lblAlgn val="ctr"/>
        <c:lblOffset val="100"/>
        <c:noMultiLvlLbl val="0"/>
      </c:catAx>
      <c:valAx>
        <c:axId val="100301615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0175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Dashboard.xlsx]Data!PivotTable8</c:name>
    <c:fmtId val="34"/>
  </c:pivotSource>
  <c:chart>
    <c:autoTitleDeleted val="1"/>
    <c:pivotFmts>
      <c:pivotFmt>
        <c:idx val="0"/>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0.9986654272382619"/>
        </c:manualLayout>
      </c:layout>
      <c:barChart>
        <c:barDir val="bar"/>
        <c:grouping val="clustered"/>
        <c:varyColors val="0"/>
        <c:ser>
          <c:idx val="0"/>
          <c:order val="0"/>
          <c:tx>
            <c:strRef>
              <c:f>Data!$B$15</c:f>
              <c:strCache>
                <c:ptCount val="1"/>
                <c:pt idx="0">
                  <c:v>Total</c:v>
                </c:pt>
              </c:strCache>
            </c:strRef>
          </c:tx>
          <c:spPr>
            <a:solidFill>
              <a:schemeClr val="accent6">
                <a:lumMod val="40000"/>
                <a:lumOff val="60000"/>
              </a:schemeClr>
            </a:solidFill>
            <a:ln>
              <a:noFill/>
            </a:ln>
            <a:effectLst/>
          </c:spPr>
          <c:invertIfNegative val="0"/>
          <c:cat>
            <c:strRef>
              <c:f>Data!$A$16:$A$18</c:f>
              <c:strCache>
                <c:ptCount val="2"/>
                <c:pt idx="0">
                  <c:v>Admitted</c:v>
                </c:pt>
                <c:pt idx="1">
                  <c:v>Not Admitted</c:v>
                </c:pt>
              </c:strCache>
            </c:strRef>
          </c:cat>
          <c:val>
            <c:numRef>
              <c:f>Data!$B$16:$B$18</c:f>
              <c:numCache>
                <c:formatCode>0%</c:formatCode>
                <c:ptCount val="2"/>
                <c:pt idx="0">
                  <c:v>0.52</c:v>
                </c:pt>
                <c:pt idx="1">
                  <c:v>0.48</c:v>
                </c:pt>
              </c:numCache>
            </c:numRef>
          </c:val>
          <c:extLst>
            <c:ext xmlns:c16="http://schemas.microsoft.com/office/drawing/2014/chart" uri="{C3380CC4-5D6E-409C-BE32-E72D297353CC}">
              <c16:uniqueId val="{00000000-9D7D-41A6-B6D2-5158AF219941}"/>
            </c:ext>
          </c:extLst>
        </c:ser>
        <c:dLbls>
          <c:showLegendKey val="0"/>
          <c:showVal val="0"/>
          <c:showCatName val="0"/>
          <c:showSerName val="0"/>
          <c:showPercent val="0"/>
          <c:showBubbleSize val="0"/>
        </c:dLbls>
        <c:gapWidth val="60"/>
        <c:axId val="1010794495"/>
        <c:axId val="1010797375"/>
      </c:barChart>
      <c:catAx>
        <c:axId val="1010794495"/>
        <c:scaling>
          <c:orientation val="minMax"/>
        </c:scaling>
        <c:delete val="1"/>
        <c:axPos val="l"/>
        <c:numFmt formatCode="General" sourceLinked="1"/>
        <c:majorTickMark val="none"/>
        <c:minorTickMark val="none"/>
        <c:tickLblPos val="nextTo"/>
        <c:crossAx val="1010797375"/>
        <c:crosses val="autoZero"/>
        <c:auto val="1"/>
        <c:lblAlgn val="ctr"/>
        <c:lblOffset val="100"/>
        <c:noMultiLvlLbl val="0"/>
      </c:catAx>
      <c:valAx>
        <c:axId val="1010797375"/>
        <c:scaling>
          <c:orientation val="minMax"/>
        </c:scaling>
        <c:delete val="1"/>
        <c:axPos val="b"/>
        <c:numFmt formatCode="0%" sourceLinked="1"/>
        <c:majorTickMark val="none"/>
        <c:minorTickMark val="none"/>
        <c:tickLblPos val="nextTo"/>
        <c:crossAx val="1010794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Dashboard.xlsx]Data!PivotTable5</c:name>
    <c:fmtId val="9"/>
  </c:pivotSource>
  <c:chart>
    <c:autoTitleDeleted val="1"/>
    <c:pivotFmts>
      <c:pivotFmt>
        <c:idx val="0"/>
        <c:spPr>
          <a:solidFill>
            <a:schemeClr val="accent6">
              <a:lumMod val="60000"/>
              <a:lumOff val="40000"/>
            </a:schemeClr>
          </a:solidFill>
          <a:ln>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843853966414728E-3"/>
          <c:y val="0.18181818181818182"/>
          <c:w val="0.99481561460335854"/>
          <c:h val="0.78787878787878785"/>
        </c:manualLayout>
      </c:layout>
      <c:areaChart>
        <c:grouping val="standard"/>
        <c:varyColors val="0"/>
        <c:ser>
          <c:idx val="0"/>
          <c:order val="0"/>
          <c:tx>
            <c:strRef>
              <c:f>Data!$M$1</c:f>
              <c:strCache>
                <c:ptCount val="1"/>
                <c:pt idx="0">
                  <c:v>Total</c:v>
                </c:pt>
              </c:strCache>
            </c:strRef>
          </c:tx>
          <c:spPr>
            <a:solidFill>
              <a:schemeClr val="accent6">
                <a:lumMod val="60000"/>
                <a:lumOff val="40000"/>
              </a:schemeClr>
            </a:solidFill>
            <a:ln>
              <a:solidFill>
                <a:schemeClr val="accent6">
                  <a:lumMod val="60000"/>
                  <a:lumOff val="40000"/>
                </a:schemeClr>
              </a:solidFill>
            </a:ln>
            <a:effectLst/>
          </c:spPr>
          <c:cat>
            <c:strRef>
              <c:f>Data!$L$2:$L$246</c:f>
              <c:strCache>
                <c:ptCount val="244"/>
                <c:pt idx="0">
                  <c:v>01-01-2024</c:v>
                </c:pt>
                <c:pt idx="1">
                  <c:v>03-01-2024</c:v>
                </c:pt>
                <c:pt idx="2">
                  <c:v>08-01-2024</c:v>
                </c:pt>
                <c:pt idx="3">
                  <c:v>13-01-2024</c:v>
                </c:pt>
                <c:pt idx="4">
                  <c:v>15-01-2024</c:v>
                </c:pt>
                <c:pt idx="5">
                  <c:v>21-01-2024</c:v>
                </c:pt>
                <c:pt idx="6">
                  <c:v>31-01-2024</c:v>
                </c:pt>
                <c:pt idx="7">
                  <c:v>28-02-2024</c:v>
                </c:pt>
                <c:pt idx="8">
                  <c:v>03-03-2024</c:v>
                </c:pt>
                <c:pt idx="9">
                  <c:v>06-03-2024</c:v>
                </c:pt>
                <c:pt idx="10">
                  <c:v>08-03-2024</c:v>
                </c:pt>
                <c:pt idx="11">
                  <c:v>13-03-2024</c:v>
                </c:pt>
                <c:pt idx="12">
                  <c:v>14-03-2024</c:v>
                </c:pt>
                <c:pt idx="13">
                  <c:v>17-03-2024</c:v>
                </c:pt>
                <c:pt idx="14">
                  <c:v>19-03-2024</c:v>
                </c:pt>
                <c:pt idx="15">
                  <c:v>21-03-2024</c:v>
                </c:pt>
                <c:pt idx="16">
                  <c:v>22-03-2024</c:v>
                </c:pt>
                <c:pt idx="17">
                  <c:v>24-03-2024</c:v>
                </c:pt>
                <c:pt idx="18">
                  <c:v>25-03-2024</c:v>
                </c:pt>
                <c:pt idx="19">
                  <c:v>26-03-2024</c:v>
                </c:pt>
                <c:pt idx="20">
                  <c:v>27-03-2024</c:v>
                </c:pt>
                <c:pt idx="21">
                  <c:v>28-03-2024</c:v>
                </c:pt>
                <c:pt idx="22">
                  <c:v>29-03-2024</c:v>
                </c:pt>
                <c:pt idx="23">
                  <c:v>31-03-2024</c:v>
                </c:pt>
                <c:pt idx="24">
                  <c:v>03-04-2024</c:v>
                </c:pt>
                <c:pt idx="25">
                  <c:v>04-04-2024</c:v>
                </c:pt>
                <c:pt idx="26">
                  <c:v>13-04-2024</c:v>
                </c:pt>
                <c:pt idx="27">
                  <c:v>23-04-2024</c:v>
                </c:pt>
                <c:pt idx="28">
                  <c:v>25-04-2024</c:v>
                </c:pt>
                <c:pt idx="29">
                  <c:v>27-04-2024</c:v>
                </c:pt>
                <c:pt idx="30">
                  <c:v>03-05-2024</c:v>
                </c:pt>
                <c:pt idx="31">
                  <c:v>08-05-2024</c:v>
                </c:pt>
                <c:pt idx="32">
                  <c:v>13-05-2024</c:v>
                </c:pt>
                <c:pt idx="33">
                  <c:v>14-05-2024</c:v>
                </c:pt>
                <c:pt idx="34">
                  <c:v>17-05-2024</c:v>
                </c:pt>
                <c:pt idx="35">
                  <c:v>19-05-2024</c:v>
                </c:pt>
                <c:pt idx="36">
                  <c:v>21-05-2024</c:v>
                </c:pt>
                <c:pt idx="37">
                  <c:v>24-05-2024</c:v>
                </c:pt>
                <c:pt idx="38">
                  <c:v>25-05-2024</c:v>
                </c:pt>
                <c:pt idx="39">
                  <c:v>26-05-2024</c:v>
                </c:pt>
                <c:pt idx="40">
                  <c:v>27-05-2024</c:v>
                </c:pt>
                <c:pt idx="41">
                  <c:v>28-05-2024</c:v>
                </c:pt>
                <c:pt idx="42">
                  <c:v>29-05-2024</c:v>
                </c:pt>
                <c:pt idx="43">
                  <c:v>31-05-2024</c:v>
                </c:pt>
                <c:pt idx="44">
                  <c:v>03-06-2024</c:v>
                </c:pt>
                <c:pt idx="45">
                  <c:v>08-06-2024</c:v>
                </c:pt>
                <c:pt idx="46">
                  <c:v>13-06-2024</c:v>
                </c:pt>
                <c:pt idx="47">
                  <c:v>14-06-2024</c:v>
                </c:pt>
                <c:pt idx="48">
                  <c:v>17-06-2024</c:v>
                </c:pt>
                <c:pt idx="49">
                  <c:v>19-06-2024</c:v>
                </c:pt>
                <c:pt idx="50">
                  <c:v>21-06-2024</c:v>
                </c:pt>
                <c:pt idx="51">
                  <c:v>24-06-2024</c:v>
                </c:pt>
                <c:pt idx="52">
                  <c:v>25-06-2024</c:v>
                </c:pt>
                <c:pt idx="53">
                  <c:v>26-06-2024</c:v>
                </c:pt>
                <c:pt idx="54">
                  <c:v>27-06-2024</c:v>
                </c:pt>
                <c:pt idx="55">
                  <c:v>28-06-2024</c:v>
                </c:pt>
                <c:pt idx="56">
                  <c:v>29-06-2024</c:v>
                </c:pt>
                <c:pt idx="57">
                  <c:v>17-07-2024</c:v>
                </c:pt>
                <c:pt idx="58">
                  <c:v>19-07-2024</c:v>
                </c:pt>
                <c:pt idx="59">
                  <c:v>26-07-2024</c:v>
                </c:pt>
                <c:pt idx="60">
                  <c:v>29-07-2024</c:v>
                </c:pt>
                <c:pt idx="61">
                  <c:v>03-08-2024</c:v>
                </c:pt>
                <c:pt idx="62">
                  <c:v>07-08-2024</c:v>
                </c:pt>
                <c:pt idx="63">
                  <c:v>08-08-2024</c:v>
                </c:pt>
                <c:pt idx="64">
                  <c:v>13-08-2024</c:v>
                </c:pt>
                <c:pt idx="65">
                  <c:v>14-08-2024</c:v>
                </c:pt>
                <c:pt idx="66">
                  <c:v>17-08-2024</c:v>
                </c:pt>
                <c:pt idx="67">
                  <c:v>19-08-2024</c:v>
                </c:pt>
                <c:pt idx="68">
                  <c:v>21-08-2024</c:v>
                </c:pt>
                <c:pt idx="69">
                  <c:v>24-08-2024</c:v>
                </c:pt>
                <c:pt idx="70">
                  <c:v>25-08-2024</c:v>
                </c:pt>
                <c:pt idx="71">
                  <c:v>26-08-2024</c:v>
                </c:pt>
                <c:pt idx="72">
                  <c:v>27-08-2024</c:v>
                </c:pt>
                <c:pt idx="73">
                  <c:v>28-08-2024</c:v>
                </c:pt>
                <c:pt idx="74">
                  <c:v>29-08-2024</c:v>
                </c:pt>
                <c:pt idx="75">
                  <c:v>30-08-2024</c:v>
                </c:pt>
                <c:pt idx="76">
                  <c:v>31-08-2024</c:v>
                </c:pt>
                <c:pt idx="77">
                  <c:v>03-09-2024</c:v>
                </c:pt>
                <c:pt idx="78">
                  <c:v>08-09-2024</c:v>
                </c:pt>
                <c:pt idx="79">
                  <c:v>13-09-2024</c:v>
                </c:pt>
                <c:pt idx="80">
                  <c:v>14-09-2024</c:v>
                </c:pt>
                <c:pt idx="81">
                  <c:v>19-09-2024</c:v>
                </c:pt>
                <c:pt idx="82">
                  <c:v>21-09-2024</c:v>
                </c:pt>
                <c:pt idx="83">
                  <c:v>24-09-2024</c:v>
                </c:pt>
                <c:pt idx="84">
                  <c:v>25-09-2024</c:v>
                </c:pt>
                <c:pt idx="85">
                  <c:v>27-09-2024</c:v>
                </c:pt>
                <c:pt idx="86">
                  <c:v>28-09-2024</c:v>
                </c:pt>
                <c:pt idx="87">
                  <c:v>29-09-2024</c:v>
                </c:pt>
                <c:pt idx="88">
                  <c:v>03-10-2024</c:v>
                </c:pt>
                <c:pt idx="89">
                  <c:v>08-10-2024</c:v>
                </c:pt>
                <c:pt idx="90">
                  <c:v>09-10-2024</c:v>
                </c:pt>
                <c:pt idx="91">
                  <c:v>13-10-2024</c:v>
                </c:pt>
                <c:pt idx="92">
                  <c:v>14-10-2024</c:v>
                </c:pt>
                <c:pt idx="93">
                  <c:v>17-10-2024</c:v>
                </c:pt>
                <c:pt idx="94">
                  <c:v>19-10-2024</c:v>
                </c:pt>
                <c:pt idx="95">
                  <c:v>24-10-2024</c:v>
                </c:pt>
                <c:pt idx="96">
                  <c:v>25-10-2024</c:v>
                </c:pt>
                <c:pt idx="97">
                  <c:v>26-10-2024</c:v>
                </c:pt>
                <c:pt idx="98">
                  <c:v>27-10-2024</c:v>
                </c:pt>
                <c:pt idx="99">
                  <c:v>28-10-2024</c:v>
                </c:pt>
                <c:pt idx="100">
                  <c:v>29-10-2024</c:v>
                </c:pt>
                <c:pt idx="101">
                  <c:v>31-10-2024</c:v>
                </c:pt>
                <c:pt idx="102">
                  <c:v>14-11-2024</c:v>
                </c:pt>
                <c:pt idx="103">
                  <c:v>02-12-2024</c:v>
                </c:pt>
                <c:pt idx="104">
                  <c:v>03-12-2024</c:v>
                </c:pt>
                <c:pt idx="105">
                  <c:v>08-12-2024</c:v>
                </c:pt>
                <c:pt idx="106">
                  <c:v>09-12-2024</c:v>
                </c:pt>
                <c:pt idx="107">
                  <c:v>11-12-2024</c:v>
                </c:pt>
                <c:pt idx="108">
                  <c:v>13-12-2024</c:v>
                </c:pt>
                <c:pt idx="109">
                  <c:v>14-12-2024</c:v>
                </c:pt>
                <c:pt idx="110">
                  <c:v>17-12-2024</c:v>
                </c:pt>
                <c:pt idx="111">
                  <c:v>19-12-2024</c:v>
                </c:pt>
                <c:pt idx="112">
                  <c:v>21-12-2024</c:v>
                </c:pt>
                <c:pt idx="113">
                  <c:v>24-12-2024</c:v>
                </c:pt>
                <c:pt idx="114">
                  <c:v>25-12-2024</c:v>
                </c:pt>
                <c:pt idx="115">
                  <c:v>26-12-2024</c:v>
                </c:pt>
                <c:pt idx="116">
                  <c:v>27-12-2024</c:v>
                </c:pt>
                <c:pt idx="117">
                  <c:v>28-12-2024</c:v>
                </c:pt>
                <c:pt idx="118">
                  <c:v>29-12-2024</c:v>
                </c:pt>
                <c:pt idx="119">
                  <c:v>31-12-2024</c:v>
                </c:pt>
                <c:pt idx="120">
                  <c:v>04-01-2025</c:v>
                </c:pt>
                <c:pt idx="121">
                  <c:v>06-01-2025</c:v>
                </c:pt>
                <c:pt idx="122">
                  <c:v>07-01-2025</c:v>
                </c:pt>
                <c:pt idx="123">
                  <c:v>11-01-2025</c:v>
                </c:pt>
                <c:pt idx="124">
                  <c:v>12-01-2025</c:v>
                </c:pt>
                <c:pt idx="125">
                  <c:v>16-01-2025</c:v>
                </c:pt>
                <c:pt idx="126">
                  <c:v>17-01-2025</c:v>
                </c:pt>
                <c:pt idx="127">
                  <c:v>24-01-2025</c:v>
                </c:pt>
                <c:pt idx="128">
                  <c:v>30-01-2025</c:v>
                </c:pt>
                <c:pt idx="129">
                  <c:v>02-02-2025</c:v>
                </c:pt>
                <c:pt idx="130">
                  <c:v>03-02-2025</c:v>
                </c:pt>
                <c:pt idx="131">
                  <c:v>07-02-2025</c:v>
                </c:pt>
                <c:pt idx="132">
                  <c:v>09-02-2025</c:v>
                </c:pt>
                <c:pt idx="133">
                  <c:v>10-02-2025</c:v>
                </c:pt>
                <c:pt idx="134">
                  <c:v>11-02-2025</c:v>
                </c:pt>
                <c:pt idx="135">
                  <c:v>12-02-2025</c:v>
                </c:pt>
                <c:pt idx="136">
                  <c:v>15-02-2025</c:v>
                </c:pt>
                <c:pt idx="137">
                  <c:v>16-02-2025</c:v>
                </c:pt>
                <c:pt idx="138">
                  <c:v>18-02-2025</c:v>
                </c:pt>
                <c:pt idx="139">
                  <c:v>20-02-2025</c:v>
                </c:pt>
                <c:pt idx="140">
                  <c:v>22-02-2025</c:v>
                </c:pt>
                <c:pt idx="141">
                  <c:v>02-03-2025</c:v>
                </c:pt>
                <c:pt idx="142">
                  <c:v>07-03-2025</c:v>
                </c:pt>
                <c:pt idx="143">
                  <c:v>10-03-2025</c:v>
                </c:pt>
                <c:pt idx="144">
                  <c:v>11-03-2025</c:v>
                </c:pt>
                <c:pt idx="145">
                  <c:v>16-03-2025</c:v>
                </c:pt>
                <c:pt idx="146">
                  <c:v>02-04-2025</c:v>
                </c:pt>
                <c:pt idx="147">
                  <c:v>04-04-2025</c:v>
                </c:pt>
                <c:pt idx="148">
                  <c:v>06-04-2025</c:v>
                </c:pt>
                <c:pt idx="149">
                  <c:v>07-04-2025</c:v>
                </c:pt>
                <c:pt idx="150">
                  <c:v>09-04-2025</c:v>
                </c:pt>
                <c:pt idx="151">
                  <c:v>10-04-2025</c:v>
                </c:pt>
                <c:pt idx="152">
                  <c:v>11-04-2025</c:v>
                </c:pt>
                <c:pt idx="153">
                  <c:v>12-04-2025</c:v>
                </c:pt>
                <c:pt idx="154">
                  <c:v>15-04-2025</c:v>
                </c:pt>
                <c:pt idx="155">
                  <c:v>17-04-2025</c:v>
                </c:pt>
                <c:pt idx="156">
                  <c:v>18-04-2025</c:v>
                </c:pt>
                <c:pt idx="157">
                  <c:v>20-04-2025</c:v>
                </c:pt>
                <c:pt idx="158">
                  <c:v>22-04-2025</c:v>
                </c:pt>
                <c:pt idx="159">
                  <c:v>30-04-2025</c:v>
                </c:pt>
                <c:pt idx="160">
                  <c:v>02-05-2025</c:v>
                </c:pt>
                <c:pt idx="161">
                  <c:v>04-05-2025</c:v>
                </c:pt>
                <c:pt idx="162">
                  <c:v>05-05-2025</c:v>
                </c:pt>
                <c:pt idx="163">
                  <c:v>06-05-2025</c:v>
                </c:pt>
                <c:pt idx="164">
                  <c:v>09-05-2025</c:v>
                </c:pt>
                <c:pt idx="165">
                  <c:v>10-05-2025</c:v>
                </c:pt>
                <c:pt idx="166">
                  <c:v>12-05-2025</c:v>
                </c:pt>
                <c:pt idx="167">
                  <c:v>15-05-2025</c:v>
                </c:pt>
                <c:pt idx="168">
                  <c:v>16-05-2025</c:v>
                </c:pt>
                <c:pt idx="169">
                  <c:v>18-05-2025</c:v>
                </c:pt>
                <c:pt idx="170">
                  <c:v>20-05-2025</c:v>
                </c:pt>
                <c:pt idx="171">
                  <c:v>22-05-2025</c:v>
                </c:pt>
                <c:pt idx="172">
                  <c:v>30-05-2025</c:v>
                </c:pt>
                <c:pt idx="173">
                  <c:v>11-06-2025</c:v>
                </c:pt>
                <c:pt idx="174">
                  <c:v>16-06-2025</c:v>
                </c:pt>
                <c:pt idx="175">
                  <c:v>18-06-2025</c:v>
                </c:pt>
                <c:pt idx="176">
                  <c:v>20-06-2025</c:v>
                </c:pt>
                <c:pt idx="177">
                  <c:v>22-06-2025</c:v>
                </c:pt>
                <c:pt idx="178">
                  <c:v>27-06-2025</c:v>
                </c:pt>
                <c:pt idx="179">
                  <c:v>02-07-2025</c:v>
                </c:pt>
                <c:pt idx="180">
                  <c:v>04-07-2025</c:v>
                </c:pt>
                <c:pt idx="181">
                  <c:v>06-07-2025</c:v>
                </c:pt>
                <c:pt idx="182">
                  <c:v>07-07-2025</c:v>
                </c:pt>
                <c:pt idx="183">
                  <c:v>08-07-2025</c:v>
                </c:pt>
                <c:pt idx="184">
                  <c:v>09-07-2025</c:v>
                </c:pt>
                <c:pt idx="185">
                  <c:v>10-07-2025</c:v>
                </c:pt>
                <c:pt idx="186">
                  <c:v>11-07-2025</c:v>
                </c:pt>
                <c:pt idx="187">
                  <c:v>12-07-2025</c:v>
                </c:pt>
                <c:pt idx="188">
                  <c:v>15-07-2025</c:v>
                </c:pt>
                <c:pt idx="189">
                  <c:v>16-07-2025</c:v>
                </c:pt>
                <c:pt idx="190">
                  <c:v>18-07-2025</c:v>
                </c:pt>
                <c:pt idx="191">
                  <c:v>20-07-2025</c:v>
                </c:pt>
                <c:pt idx="192">
                  <c:v>22-07-2025</c:v>
                </c:pt>
                <c:pt idx="193">
                  <c:v>30-07-2025</c:v>
                </c:pt>
                <c:pt idx="194">
                  <c:v>31-07-2025</c:v>
                </c:pt>
                <c:pt idx="195">
                  <c:v>06-08-2025</c:v>
                </c:pt>
                <c:pt idx="196">
                  <c:v>18-08-2025</c:v>
                </c:pt>
                <c:pt idx="197">
                  <c:v>22-08-2025</c:v>
                </c:pt>
                <c:pt idx="198">
                  <c:v>02-09-2025</c:v>
                </c:pt>
                <c:pt idx="199">
                  <c:v>04-09-2025</c:v>
                </c:pt>
                <c:pt idx="200">
                  <c:v>06-09-2025</c:v>
                </c:pt>
                <c:pt idx="201">
                  <c:v>07-09-2025</c:v>
                </c:pt>
                <c:pt idx="202">
                  <c:v>09-09-2025</c:v>
                </c:pt>
                <c:pt idx="203">
                  <c:v>10-09-2025</c:v>
                </c:pt>
                <c:pt idx="204">
                  <c:v>11-09-2025</c:v>
                </c:pt>
                <c:pt idx="205">
                  <c:v>12-09-2025</c:v>
                </c:pt>
                <c:pt idx="206">
                  <c:v>15-09-2025</c:v>
                </c:pt>
                <c:pt idx="207">
                  <c:v>16-09-2025</c:v>
                </c:pt>
                <c:pt idx="208">
                  <c:v>18-09-2025</c:v>
                </c:pt>
                <c:pt idx="209">
                  <c:v>20-09-2025</c:v>
                </c:pt>
                <c:pt idx="210">
                  <c:v>22-09-2025</c:v>
                </c:pt>
                <c:pt idx="211">
                  <c:v>28-09-2025</c:v>
                </c:pt>
                <c:pt idx="212">
                  <c:v>30-09-2025</c:v>
                </c:pt>
                <c:pt idx="213">
                  <c:v>02-10-2025</c:v>
                </c:pt>
                <c:pt idx="214">
                  <c:v>04-10-2025</c:v>
                </c:pt>
                <c:pt idx="215">
                  <c:v>05-10-2025</c:v>
                </c:pt>
                <c:pt idx="216">
                  <c:v>06-10-2025</c:v>
                </c:pt>
                <c:pt idx="217">
                  <c:v>07-10-2025</c:v>
                </c:pt>
                <c:pt idx="218">
                  <c:v>09-10-2025</c:v>
                </c:pt>
                <c:pt idx="219">
                  <c:v>10-10-2025</c:v>
                </c:pt>
                <c:pt idx="220">
                  <c:v>11-10-2025</c:v>
                </c:pt>
                <c:pt idx="221">
                  <c:v>12-10-2025</c:v>
                </c:pt>
                <c:pt idx="222">
                  <c:v>15-10-2025</c:v>
                </c:pt>
                <c:pt idx="223">
                  <c:v>16-10-2025</c:v>
                </c:pt>
                <c:pt idx="224">
                  <c:v>18-10-2025</c:v>
                </c:pt>
                <c:pt idx="225">
                  <c:v>20-10-2025</c:v>
                </c:pt>
                <c:pt idx="226">
                  <c:v>22-10-2025</c:v>
                </c:pt>
                <c:pt idx="227">
                  <c:v>30-10-2025</c:v>
                </c:pt>
                <c:pt idx="228">
                  <c:v>02-11-2025</c:v>
                </c:pt>
                <c:pt idx="229">
                  <c:v>04-11-2025</c:v>
                </c:pt>
                <c:pt idx="230">
                  <c:v>06-11-2025</c:v>
                </c:pt>
                <c:pt idx="231">
                  <c:v>07-11-2025</c:v>
                </c:pt>
                <c:pt idx="232">
                  <c:v>09-11-2025</c:v>
                </c:pt>
                <c:pt idx="233">
                  <c:v>10-11-2025</c:v>
                </c:pt>
                <c:pt idx="234">
                  <c:v>11-11-2025</c:v>
                </c:pt>
                <c:pt idx="235">
                  <c:v>12-11-2025</c:v>
                </c:pt>
                <c:pt idx="236">
                  <c:v>15-11-2025</c:v>
                </c:pt>
                <c:pt idx="237">
                  <c:v>16-11-2025</c:v>
                </c:pt>
                <c:pt idx="238">
                  <c:v>18-11-2025</c:v>
                </c:pt>
                <c:pt idx="239">
                  <c:v>20-11-2025</c:v>
                </c:pt>
                <c:pt idx="240">
                  <c:v>21-11-2025</c:v>
                </c:pt>
                <c:pt idx="241">
                  <c:v>22-11-2025</c:v>
                </c:pt>
                <c:pt idx="242">
                  <c:v>25-11-2025</c:v>
                </c:pt>
                <c:pt idx="243">
                  <c:v>30-11-2025</c:v>
                </c:pt>
              </c:strCache>
            </c:strRef>
          </c:cat>
          <c:val>
            <c:numRef>
              <c:f>Data!$M$2:$M$246</c:f>
              <c:numCache>
                <c:formatCode>0.00</c:formatCode>
                <c:ptCount val="24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2</c:v>
                </c:pt>
                <c:pt idx="40">
                  <c:v>1</c:v>
                </c:pt>
                <c:pt idx="41">
                  <c:v>1</c:v>
                </c:pt>
                <c:pt idx="42">
                  <c:v>1</c:v>
                </c:pt>
                <c:pt idx="43">
                  <c:v>1</c:v>
                </c:pt>
                <c:pt idx="44">
                  <c:v>1</c:v>
                </c:pt>
                <c:pt idx="45">
                  <c:v>1</c:v>
                </c:pt>
                <c:pt idx="46">
                  <c:v>2</c:v>
                </c:pt>
                <c:pt idx="47">
                  <c:v>1</c:v>
                </c:pt>
                <c:pt idx="48">
                  <c:v>1</c:v>
                </c:pt>
                <c:pt idx="49">
                  <c:v>2</c:v>
                </c:pt>
                <c:pt idx="50">
                  <c:v>1</c:v>
                </c:pt>
                <c:pt idx="51">
                  <c:v>1</c:v>
                </c:pt>
                <c:pt idx="52">
                  <c:v>1</c:v>
                </c:pt>
                <c:pt idx="53">
                  <c:v>1</c:v>
                </c:pt>
                <c:pt idx="54">
                  <c:v>2</c:v>
                </c:pt>
                <c:pt idx="55">
                  <c:v>1</c:v>
                </c:pt>
                <c:pt idx="56">
                  <c:v>1</c:v>
                </c:pt>
                <c:pt idx="57">
                  <c:v>1</c:v>
                </c:pt>
                <c:pt idx="58">
                  <c:v>1</c:v>
                </c:pt>
                <c:pt idx="59">
                  <c:v>2</c:v>
                </c:pt>
                <c:pt idx="60">
                  <c:v>1</c:v>
                </c:pt>
                <c:pt idx="61">
                  <c:v>1</c:v>
                </c:pt>
                <c:pt idx="62">
                  <c:v>1</c:v>
                </c:pt>
                <c:pt idx="63">
                  <c:v>2</c:v>
                </c:pt>
                <c:pt idx="64">
                  <c:v>1</c:v>
                </c:pt>
                <c:pt idx="65">
                  <c:v>2</c:v>
                </c:pt>
                <c:pt idx="66">
                  <c:v>2</c:v>
                </c:pt>
                <c:pt idx="67">
                  <c:v>2</c:v>
                </c:pt>
                <c:pt idx="68">
                  <c:v>1</c:v>
                </c:pt>
                <c:pt idx="69">
                  <c:v>1</c:v>
                </c:pt>
                <c:pt idx="70">
                  <c:v>1</c:v>
                </c:pt>
                <c:pt idx="71">
                  <c:v>1</c:v>
                </c:pt>
                <c:pt idx="72">
                  <c:v>1</c:v>
                </c:pt>
                <c:pt idx="73">
                  <c:v>1</c:v>
                </c:pt>
                <c:pt idx="74">
                  <c:v>2</c:v>
                </c:pt>
                <c:pt idx="75">
                  <c:v>1</c:v>
                </c:pt>
                <c:pt idx="76">
                  <c:v>2</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2</c:v>
                </c:pt>
                <c:pt idx="96">
                  <c:v>1</c:v>
                </c:pt>
                <c:pt idx="97">
                  <c:v>1</c:v>
                </c:pt>
                <c:pt idx="98">
                  <c:v>1</c:v>
                </c:pt>
                <c:pt idx="99">
                  <c:v>2</c:v>
                </c:pt>
                <c:pt idx="100">
                  <c:v>1</c:v>
                </c:pt>
                <c:pt idx="101">
                  <c:v>1</c:v>
                </c:pt>
                <c:pt idx="102">
                  <c:v>1</c:v>
                </c:pt>
                <c:pt idx="103">
                  <c:v>1</c:v>
                </c:pt>
                <c:pt idx="104">
                  <c:v>1</c:v>
                </c:pt>
                <c:pt idx="105">
                  <c:v>2</c:v>
                </c:pt>
                <c:pt idx="106">
                  <c:v>1</c:v>
                </c:pt>
                <c:pt idx="107">
                  <c:v>1</c:v>
                </c:pt>
                <c:pt idx="108">
                  <c:v>2</c:v>
                </c:pt>
                <c:pt idx="109">
                  <c:v>3</c:v>
                </c:pt>
                <c:pt idx="110">
                  <c:v>2</c:v>
                </c:pt>
                <c:pt idx="111">
                  <c:v>2</c:v>
                </c:pt>
                <c:pt idx="112">
                  <c:v>4</c:v>
                </c:pt>
                <c:pt idx="113">
                  <c:v>2</c:v>
                </c:pt>
                <c:pt idx="114">
                  <c:v>2</c:v>
                </c:pt>
                <c:pt idx="115">
                  <c:v>2</c:v>
                </c:pt>
                <c:pt idx="116">
                  <c:v>2</c:v>
                </c:pt>
                <c:pt idx="117">
                  <c:v>2</c:v>
                </c:pt>
                <c:pt idx="118">
                  <c:v>3</c:v>
                </c:pt>
                <c:pt idx="119">
                  <c:v>2</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2</c:v>
                </c:pt>
                <c:pt idx="158">
                  <c:v>1</c:v>
                </c:pt>
                <c:pt idx="159">
                  <c:v>1</c:v>
                </c:pt>
                <c:pt idx="160">
                  <c:v>1</c:v>
                </c:pt>
                <c:pt idx="161">
                  <c:v>1</c:v>
                </c:pt>
                <c:pt idx="162">
                  <c:v>1</c:v>
                </c:pt>
                <c:pt idx="163">
                  <c:v>1</c:v>
                </c:pt>
                <c:pt idx="164">
                  <c:v>1</c:v>
                </c:pt>
                <c:pt idx="165">
                  <c:v>2</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2</c:v>
                </c:pt>
                <c:pt idx="200">
                  <c:v>1</c:v>
                </c:pt>
                <c:pt idx="201">
                  <c:v>1</c:v>
                </c:pt>
                <c:pt idx="202">
                  <c:v>1</c:v>
                </c:pt>
                <c:pt idx="203">
                  <c:v>2</c:v>
                </c:pt>
                <c:pt idx="204">
                  <c:v>1</c:v>
                </c:pt>
                <c:pt idx="205">
                  <c:v>2</c:v>
                </c:pt>
                <c:pt idx="206">
                  <c:v>1</c:v>
                </c:pt>
                <c:pt idx="207">
                  <c:v>1</c:v>
                </c:pt>
                <c:pt idx="208">
                  <c:v>1</c:v>
                </c:pt>
                <c:pt idx="209">
                  <c:v>1</c:v>
                </c:pt>
                <c:pt idx="210">
                  <c:v>1</c:v>
                </c:pt>
                <c:pt idx="211">
                  <c:v>1</c:v>
                </c:pt>
                <c:pt idx="212">
                  <c:v>2</c:v>
                </c:pt>
                <c:pt idx="213">
                  <c:v>1</c:v>
                </c:pt>
                <c:pt idx="214">
                  <c:v>2</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2</c:v>
                </c:pt>
                <c:pt idx="229">
                  <c:v>2</c:v>
                </c:pt>
                <c:pt idx="230">
                  <c:v>2</c:v>
                </c:pt>
                <c:pt idx="231">
                  <c:v>2</c:v>
                </c:pt>
                <c:pt idx="232">
                  <c:v>3</c:v>
                </c:pt>
                <c:pt idx="233">
                  <c:v>2</c:v>
                </c:pt>
                <c:pt idx="234">
                  <c:v>2</c:v>
                </c:pt>
                <c:pt idx="235">
                  <c:v>2</c:v>
                </c:pt>
                <c:pt idx="236">
                  <c:v>4</c:v>
                </c:pt>
                <c:pt idx="237">
                  <c:v>3</c:v>
                </c:pt>
                <c:pt idx="238">
                  <c:v>2</c:v>
                </c:pt>
                <c:pt idx="239">
                  <c:v>2</c:v>
                </c:pt>
                <c:pt idx="240">
                  <c:v>1</c:v>
                </c:pt>
                <c:pt idx="241">
                  <c:v>2</c:v>
                </c:pt>
                <c:pt idx="242">
                  <c:v>1</c:v>
                </c:pt>
                <c:pt idx="243">
                  <c:v>3</c:v>
                </c:pt>
              </c:numCache>
            </c:numRef>
          </c:val>
          <c:extLst>
            <c:ext xmlns:c16="http://schemas.microsoft.com/office/drawing/2014/chart" uri="{C3380CC4-5D6E-409C-BE32-E72D297353CC}">
              <c16:uniqueId val="{00000000-EC49-4D10-B7D3-57A9B7DE5B72}"/>
            </c:ext>
          </c:extLst>
        </c:ser>
        <c:dLbls>
          <c:showLegendKey val="0"/>
          <c:showVal val="0"/>
          <c:showCatName val="0"/>
          <c:showSerName val="0"/>
          <c:showPercent val="0"/>
          <c:showBubbleSize val="0"/>
        </c:dLbls>
        <c:axId val="2068420752"/>
        <c:axId val="2068421232"/>
      </c:areaChart>
      <c:catAx>
        <c:axId val="2068420752"/>
        <c:scaling>
          <c:orientation val="minMax"/>
        </c:scaling>
        <c:delete val="1"/>
        <c:axPos val="b"/>
        <c:numFmt formatCode="General" sourceLinked="1"/>
        <c:majorTickMark val="out"/>
        <c:minorTickMark val="none"/>
        <c:tickLblPos val="nextTo"/>
        <c:crossAx val="2068421232"/>
        <c:crosses val="autoZero"/>
        <c:auto val="1"/>
        <c:lblAlgn val="ctr"/>
        <c:lblOffset val="100"/>
        <c:noMultiLvlLbl val="0"/>
      </c:catAx>
      <c:valAx>
        <c:axId val="2068421232"/>
        <c:scaling>
          <c:orientation val="minMax"/>
        </c:scaling>
        <c:delete val="1"/>
        <c:axPos val="l"/>
        <c:numFmt formatCode="0.00" sourceLinked="1"/>
        <c:majorTickMark val="none"/>
        <c:minorTickMark val="none"/>
        <c:tickLblPos val="nextTo"/>
        <c:crossAx val="20684207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Dashboard.xlsx]Data!PivotTable7</c:name>
    <c:fmtId val="22"/>
  </c:pivotSource>
  <c:chart>
    <c:autoTitleDeleted val="1"/>
    <c:pivotFmts>
      <c:pivotFmt>
        <c:idx val="0"/>
        <c:spPr>
          <a:solidFill>
            <a:schemeClr val="accent6">
              <a:lumMod val="60000"/>
              <a:lumOff val="40000"/>
            </a:schemeClr>
          </a:solidFill>
          <a:ln>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Data!$P$1</c:f>
              <c:strCache>
                <c:ptCount val="1"/>
                <c:pt idx="0">
                  <c:v>Total</c:v>
                </c:pt>
              </c:strCache>
            </c:strRef>
          </c:tx>
          <c:spPr>
            <a:solidFill>
              <a:schemeClr val="accent6">
                <a:lumMod val="60000"/>
                <a:lumOff val="40000"/>
              </a:schemeClr>
            </a:solidFill>
            <a:ln>
              <a:solidFill>
                <a:schemeClr val="accent6">
                  <a:lumMod val="60000"/>
                  <a:lumOff val="40000"/>
                </a:schemeClr>
              </a:solidFill>
            </a:ln>
            <a:effectLst/>
          </c:spPr>
          <c:cat>
            <c:strRef>
              <c:f>Data!$O$2:$O$246</c:f>
              <c:strCache>
                <c:ptCount val="244"/>
                <c:pt idx="0">
                  <c:v>01-01-2024</c:v>
                </c:pt>
                <c:pt idx="1">
                  <c:v>03-01-2024</c:v>
                </c:pt>
                <c:pt idx="2">
                  <c:v>08-01-2024</c:v>
                </c:pt>
                <c:pt idx="3">
                  <c:v>13-01-2024</c:v>
                </c:pt>
                <c:pt idx="4">
                  <c:v>15-01-2024</c:v>
                </c:pt>
                <c:pt idx="5">
                  <c:v>21-01-2024</c:v>
                </c:pt>
                <c:pt idx="6">
                  <c:v>31-01-2024</c:v>
                </c:pt>
                <c:pt idx="7">
                  <c:v>28-02-2024</c:v>
                </c:pt>
                <c:pt idx="8">
                  <c:v>03-03-2024</c:v>
                </c:pt>
                <c:pt idx="9">
                  <c:v>06-03-2024</c:v>
                </c:pt>
                <c:pt idx="10">
                  <c:v>08-03-2024</c:v>
                </c:pt>
                <c:pt idx="11">
                  <c:v>13-03-2024</c:v>
                </c:pt>
                <c:pt idx="12">
                  <c:v>14-03-2024</c:v>
                </c:pt>
                <c:pt idx="13">
                  <c:v>17-03-2024</c:v>
                </c:pt>
                <c:pt idx="14">
                  <c:v>19-03-2024</c:v>
                </c:pt>
                <c:pt idx="15">
                  <c:v>21-03-2024</c:v>
                </c:pt>
                <c:pt idx="16">
                  <c:v>22-03-2024</c:v>
                </c:pt>
                <c:pt idx="17">
                  <c:v>24-03-2024</c:v>
                </c:pt>
                <c:pt idx="18">
                  <c:v>25-03-2024</c:v>
                </c:pt>
                <c:pt idx="19">
                  <c:v>26-03-2024</c:v>
                </c:pt>
                <c:pt idx="20">
                  <c:v>27-03-2024</c:v>
                </c:pt>
                <c:pt idx="21">
                  <c:v>28-03-2024</c:v>
                </c:pt>
                <c:pt idx="22">
                  <c:v>29-03-2024</c:v>
                </c:pt>
                <c:pt idx="23">
                  <c:v>31-03-2024</c:v>
                </c:pt>
                <c:pt idx="24">
                  <c:v>03-04-2024</c:v>
                </c:pt>
                <c:pt idx="25">
                  <c:v>04-04-2024</c:v>
                </c:pt>
                <c:pt idx="26">
                  <c:v>13-04-2024</c:v>
                </c:pt>
                <c:pt idx="27">
                  <c:v>23-04-2024</c:v>
                </c:pt>
                <c:pt idx="28">
                  <c:v>25-04-2024</c:v>
                </c:pt>
                <c:pt idx="29">
                  <c:v>27-04-2024</c:v>
                </c:pt>
                <c:pt idx="30">
                  <c:v>03-05-2024</c:v>
                </c:pt>
                <c:pt idx="31">
                  <c:v>08-05-2024</c:v>
                </c:pt>
                <c:pt idx="32">
                  <c:v>13-05-2024</c:v>
                </c:pt>
                <c:pt idx="33">
                  <c:v>14-05-2024</c:v>
                </c:pt>
                <c:pt idx="34">
                  <c:v>17-05-2024</c:v>
                </c:pt>
                <c:pt idx="35">
                  <c:v>19-05-2024</c:v>
                </c:pt>
                <c:pt idx="36">
                  <c:v>21-05-2024</c:v>
                </c:pt>
                <c:pt idx="37">
                  <c:v>24-05-2024</c:v>
                </c:pt>
                <c:pt idx="38">
                  <c:v>25-05-2024</c:v>
                </c:pt>
                <c:pt idx="39">
                  <c:v>26-05-2024</c:v>
                </c:pt>
                <c:pt idx="40">
                  <c:v>27-05-2024</c:v>
                </c:pt>
                <c:pt idx="41">
                  <c:v>28-05-2024</c:v>
                </c:pt>
                <c:pt idx="42">
                  <c:v>29-05-2024</c:v>
                </c:pt>
                <c:pt idx="43">
                  <c:v>31-05-2024</c:v>
                </c:pt>
                <c:pt idx="44">
                  <c:v>03-06-2024</c:v>
                </c:pt>
                <c:pt idx="45">
                  <c:v>08-06-2024</c:v>
                </c:pt>
                <c:pt idx="46">
                  <c:v>13-06-2024</c:v>
                </c:pt>
                <c:pt idx="47">
                  <c:v>14-06-2024</c:v>
                </c:pt>
                <c:pt idx="48">
                  <c:v>17-06-2024</c:v>
                </c:pt>
                <c:pt idx="49">
                  <c:v>19-06-2024</c:v>
                </c:pt>
                <c:pt idx="50">
                  <c:v>21-06-2024</c:v>
                </c:pt>
                <c:pt idx="51">
                  <c:v>24-06-2024</c:v>
                </c:pt>
                <c:pt idx="52">
                  <c:v>25-06-2024</c:v>
                </c:pt>
                <c:pt idx="53">
                  <c:v>26-06-2024</c:v>
                </c:pt>
                <c:pt idx="54">
                  <c:v>27-06-2024</c:v>
                </c:pt>
                <c:pt idx="55">
                  <c:v>28-06-2024</c:v>
                </c:pt>
                <c:pt idx="56">
                  <c:v>29-06-2024</c:v>
                </c:pt>
                <c:pt idx="57">
                  <c:v>17-07-2024</c:v>
                </c:pt>
                <c:pt idx="58">
                  <c:v>19-07-2024</c:v>
                </c:pt>
                <c:pt idx="59">
                  <c:v>26-07-2024</c:v>
                </c:pt>
                <c:pt idx="60">
                  <c:v>29-07-2024</c:v>
                </c:pt>
                <c:pt idx="61">
                  <c:v>03-08-2024</c:v>
                </c:pt>
                <c:pt idx="62">
                  <c:v>07-08-2024</c:v>
                </c:pt>
                <c:pt idx="63">
                  <c:v>08-08-2024</c:v>
                </c:pt>
                <c:pt idx="64">
                  <c:v>13-08-2024</c:v>
                </c:pt>
                <c:pt idx="65">
                  <c:v>14-08-2024</c:v>
                </c:pt>
                <c:pt idx="66">
                  <c:v>17-08-2024</c:v>
                </c:pt>
                <c:pt idx="67">
                  <c:v>19-08-2024</c:v>
                </c:pt>
                <c:pt idx="68">
                  <c:v>21-08-2024</c:v>
                </c:pt>
                <c:pt idx="69">
                  <c:v>24-08-2024</c:v>
                </c:pt>
                <c:pt idx="70">
                  <c:v>25-08-2024</c:v>
                </c:pt>
                <c:pt idx="71">
                  <c:v>26-08-2024</c:v>
                </c:pt>
                <c:pt idx="72">
                  <c:v>27-08-2024</c:v>
                </c:pt>
                <c:pt idx="73">
                  <c:v>28-08-2024</c:v>
                </c:pt>
                <c:pt idx="74">
                  <c:v>29-08-2024</c:v>
                </c:pt>
                <c:pt idx="75">
                  <c:v>30-08-2024</c:v>
                </c:pt>
                <c:pt idx="76">
                  <c:v>31-08-2024</c:v>
                </c:pt>
                <c:pt idx="77">
                  <c:v>03-09-2024</c:v>
                </c:pt>
                <c:pt idx="78">
                  <c:v>08-09-2024</c:v>
                </c:pt>
                <c:pt idx="79">
                  <c:v>13-09-2024</c:v>
                </c:pt>
                <c:pt idx="80">
                  <c:v>14-09-2024</c:v>
                </c:pt>
                <c:pt idx="81">
                  <c:v>19-09-2024</c:v>
                </c:pt>
                <c:pt idx="82">
                  <c:v>21-09-2024</c:v>
                </c:pt>
                <c:pt idx="83">
                  <c:v>24-09-2024</c:v>
                </c:pt>
                <c:pt idx="84">
                  <c:v>25-09-2024</c:v>
                </c:pt>
                <c:pt idx="85">
                  <c:v>27-09-2024</c:v>
                </c:pt>
                <c:pt idx="86">
                  <c:v>28-09-2024</c:v>
                </c:pt>
                <c:pt idx="87">
                  <c:v>29-09-2024</c:v>
                </c:pt>
                <c:pt idx="88">
                  <c:v>03-10-2024</c:v>
                </c:pt>
                <c:pt idx="89">
                  <c:v>08-10-2024</c:v>
                </c:pt>
                <c:pt idx="90">
                  <c:v>09-10-2024</c:v>
                </c:pt>
                <c:pt idx="91">
                  <c:v>13-10-2024</c:v>
                </c:pt>
                <c:pt idx="92">
                  <c:v>14-10-2024</c:v>
                </c:pt>
                <c:pt idx="93">
                  <c:v>17-10-2024</c:v>
                </c:pt>
                <c:pt idx="94">
                  <c:v>19-10-2024</c:v>
                </c:pt>
                <c:pt idx="95">
                  <c:v>24-10-2024</c:v>
                </c:pt>
                <c:pt idx="96">
                  <c:v>25-10-2024</c:v>
                </c:pt>
                <c:pt idx="97">
                  <c:v>26-10-2024</c:v>
                </c:pt>
                <c:pt idx="98">
                  <c:v>27-10-2024</c:v>
                </c:pt>
                <c:pt idx="99">
                  <c:v>28-10-2024</c:v>
                </c:pt>
                <c:pt idx="100">
                  <c:v>29-10-2024</c:v>
                </c:pt>
                <c:pt idx="101">
                  <c:v>31-10-2024</c:v>
                </c:pt>
                <c:pt idx="102">
                  <c:v>14-11-2024</c:v>
                </c:pt>
                <c:pt idx="103">
                  <c:v>02-12-2024</c:v>
                </c:pt>
                <c:pt idx="104">
                  <c:v>03-12-2024</c:v>
                </c:pt>
                <c:pt idx="105">
                  <c:v>08-12-2024</c:v>
                </c:pt>
                <c:pt idx="106">
                  <c:v>09-12-2024</c:v>
                </c:pt>
                <c:pt idx="107">
                  <c:v>11-12-2024</c:v>
                </c:pt>
                <c:pt idx="108">
                  <c:v>13-12-2024</c:v>
                </c:pt>
                <c:pt idx="109">
                  <c:v>14-12-2024</c:v>
                </c:pt>
                <c:pt idx="110">
                  <c:v>17-12-2024</c:v>
                </c:pt>
                <c:pt idx="111">
                  <c:v>19-12-2024</c:v>
                </c:pt>
                <c:pt idx="112">
                  <c:v>21-12-2024</c:v>
                </c:pt>
                <c:pt idx="113">
                  <c:v>24-12-2024</c:v>
                </c:pt>
                <c:pt idx="114">
                  <c:v>25-12-2024</c:v>
                </c:pt>
                <c:pt idx="115">
                  <c:v>26-12-2024</c:v>
                </c:pt>
                <c:pt idx="116">
                  <c:v>27-12-2024</c:v>
                </c:pt>
                <c:pt idx="117">
                  <c:v>28-12-2024</c:v>
                </c:pt>
                <c:pt idx="118">
                  <c:v>29-12-2024</c:v>
                </c:pt>
                <c:pt idx="119">
                  <c:v>31-12-2024</c:v>
                </c:pt>
                <c:pt idx="120">
                  <c:v>04-01-2025</c:v>
                </c:pt>
                <c:pt idx="121">
                  <c:v>06-01-2025</c:v>
                </c:pt>
                <c:pt idx="122">
                  <c:v>07-01-2025</c:v>
                </c:pt>
                <c:pt idx="123">
                  <c:v>11-01-2025</c:v>
                </c:pt>
                <c:pt idx="124">
                  <c:v>12-01-2025</c:v>
                </c:pt>
                <c:pt idx="125">
                  <c:v>16-01-2025</c:v>
                </c:pt>
                <c:pt idx="126">
                  <c:v>17-01-2025</c:v>
                </c:pt>
                <c:pt idx="127">
                  <c:v>24-01-2025</c:v>
                </c:pt>
                <c:pt idx="128">
                  <c:v>30-01-2025</c:v>
                </c:pt>
                <c:pt idx="129">
                  <c:v>02-02-2025</c:v>
                </c:pt>
                <c:pt idx="130">
                  <c:v>03-02-2025</c:v>
                </c:pt>
                <c:pt idx="131">
                  <c:v>07-02-2025</c:v>
                </c:pt>
                <c:pt idx="132">
                  <c:v>09-02-2025</c:v>
                </c:pt>
                <c:pt idx="133">
                  <c:v>10-02-2025</c:v>
                </c:pt>
                <c:pt idx="134">
                  <c:v>11-02-2025</c:v>
                </c:pt>
                <c:pt idx="135">
                  <c:v>12-02-2025</c:v>
                </c:pt>
                <c:pt idx="136">
                  <c:v>15-02-2025</c:v>
                </c:pt>
                <c:pt idx="137">
                  <c:v>16-02-2025</c:v>
                </c:pt>
                <c:pt idx="138">
                  <c:v>18-02-2025</c:v>
                </c:pt>
                <c:pt idx="139">
                  <c:v>20-02-2025</c:v>
                </c:pt>
                <c:pt idx="140">
                  <c:v>22-02-2025</c:v>
                </c:pt>
                <c:pt idx="141">
                  <c:v>02-03-2025</c:v>
                </c:pt>
                <c:pt idx="142">
                  <c:v>07-03-2025</c:v>
                </c:pt>
                <c:pt idx="143">
                  <c:v>10-03-2025</c:v>
                </c:pt>
                <c:pt idx="144">
                  <c:v>11-03-2025</c:v>
                </c:pt>
                <c:pt idx="145">
                  <c:v>16-03-2025</c:v>
                </c:pt>
                <c:pt idx="146">
                  <c:v>02-04-2025</c:v>
                </c:pt>
                <c:pt idx="147">
                  <c:v>04-04-2025</c:v>
                </c:pt>
                <c:pt idx="148">
                  <c:v>06-04-2025</c:v>
                </c:pt>
                <c:pt idx="149">
                  <c:v>07-04-2025</c:v>
                </c:pt>
                <c:pt idx="150">
                  <c:v>09-04-2025</c:v>
                </c:pt>
                <c:pt idx="151">
                  <c:v>10-04-2025</c:v>
                </c:pt>
                <c:pt idx="152">
                  <c:v>11-04-2025</c:v>
                </c:pt>
                <c:pt idx="153">
                  <c:v>12-04-2025</c:v>
                </c:pt>
                <c:pt idx="154">
                  <c:v>15-04-2025</c:v>
                </c:pt>
                <c:pt idx="155">
                  <c:v>17-04-2025</c:v>
                </c:pt>
                <c:pt idx="156">
                  <c:v>18-04-2025</c:v>
                </c:pt>
                <c:pt idx="157">
                  <c:v>20-04-2025</c:v>
                </c:pt>
                <c:pt idx="158">
                  <c:v>22-04-2025</c:v>
                </c:pt>
                <c:pt idx="159">
                  <c:v>30-04-2025</c:v>
                </c:pt>
                <c:pt idx="160">
                  <c:v>02-05-2025</c:v>
                </c:pt>
                <c:pt idx="161">
                  <c:v>04-05-2025</c:v>
                </c:pt>
                <c:pt idx="162">
                  <c:v>05-05-2025</c:v>
                </c:pt>
                <c:pt idx="163">
                  <c:v>06-05-2025</c:v>
                </c:pt>
                <c:pt idx="164">
                  <c:v>09-05-2025</c:v>
                </c:pt>
                <c:pt idx="165">
                  <c:v>10-05-2025</c:v>
                </c:pt>
                <c:pt idx="166">
                  <c:v>12-05-2025</c:v>
                </c:pt>
                <c:pt idx="167">
                  <c:v>15-05-2025</c:v>
                </c:pt>
                <c:pt idx="168">
                  <c:v>16-05-2025</c:v>
                </c:pt>
                <c:pt idx="169">
                  <c:v>18-05-2025</c:v>
                </c:pt>
                <c:pt idx="170">
                  <c:v>20-05-2025</c:v>
                </c:pt>
                <c:pt idx="171">
                  <c:v>22-05-2025</c:v>
                </c:pt>
                <c:pt idx="172">
                  <c:v>30-05-2025</c:v>
                </c:pt>
                <c:pt idx="173">
                  <c:v>11-06-2025</c:v>
                </c:pt>
                <c:pt idx="174">
                  <c:v>16-06-2025</c:v>
                </c:pt>
                <c:pt idx="175">
                  <c:v>18-06-2025</c:v>
                </c:pt>
                <c:pt idx="176">
                  <c:v>20-06-2025</c:v>
                </c:pt>
                <c:pt idx="177">
                  <c:v>22-06-2025</c:v>
                </c:pt>
                <c:pt idx="178">
                  <c:v>27-06-2025</c:v>
                </c:pt>
                <c:pt idx="179">
                  <c:v>02-07-2025</c:v>
                </c:pt>
                <c:pt idx="180">
                  <c:v>04-07-2025</c:v>
                </c:pt>
                <c:pt idx="181">
                  <c:v>06-07-2025</c:v>
                </c:pt>
                <c:pt idx="182">
                  <c:v>07-07-2025</c:v>
                </c:pt>
                <c:pt idx="183">
                  <c:v>08-07-2025</c:v>
                </c:pt>
                <c:pt idx="184">
                  <c:v>09-07-2025</c:v>
                </c:pt>
                <c:pt idx="185">
                  <c:v>10-07-2025</c:v>
                </c:pt>
                <c:pt idx="186">
                  <c:v>11-07-2025</c:v>
                </c:pt>
                <c:pt idx="187">
                  <c:v>12-07-2025</c:v>
                </c:pt>
                <c:pt idx="188">
                  <c:v>15-07-2025</c:v>
                </c:pt>
                <c:pt idx="189">
                  <c:v>16-07-2025</c:v>
                </c:pt>
                <c:pt idx="190">
                  <c:v>18-07-2025</c:v>
                </c:pt>
                <c:pt idx="191">
                  <c:v>20-07-2025</c:v>
                </c:pt>
                <c:pt idx="192">
                  <c:v>22-07-2025</c:v>
                </c:pt>
                <c:pt idx="193">
                  <c:v>30-07-2025</c:v>
                </c:pt>
                <c:pt idx="194">
                  <c:v>31-07-2025</c:v>
                </c:pt>
                <c:pt idx="195">
                  <c:v>06-08-2025</c:v>
                </c:pt>
                <c:pt idx="196">
                  <c:v>18-08-2025</c:v>
                </c:pt>
                <c:pt idx="197">
                  <c:v>22-08-2025</c:v>
                </c:pt>
                <c:pt idx="198">
                  <c:v>02-09-2025</c:v>
                </c:pt>
                <c:pt idx="199">
                  <c:v>04-09-2025</c:v>
                </c:pt>
                <c:pt idx="200">
                  <c:v>06-09-2025</c:v>
                </c:pt>
                <c:pt idx="201">
                  <c:v>07-09-2025</c:v>
                </c:pt>
                <c:pt idx="202">
                  <c:v>09-09-2025</c:v>
                </c:pt>
                <c:pt idx="203">
                  <c:v>10-09-2025</c:v>
                </c:pt>
                <c:pt idx="204">
                  <c:v>11-09-2025</c:v>
                </c:pt>
                <c:pt idx="205">
                  <c:v>12-09-2025</c:v>
                </c:pt>
                <c:pt idx="206">
                  <c:v>15-09-2025</c:v>
                </c:pt>
                <c:pt idx="207">
                  <c:v>16-09-2025</c:v>
                </c:pt>
                <c:pt idx="208">
                  <c:v>18-09-2025</c:v>
                </c:pt>
                <c:pt idx="209">
                  <c:v>20-09-2025</c:v>
                </c:pt>
                <c:pt idx="210">
                  <c:v>22-09-2025</c:v>
                </c:pt>
                <c:pt idx="211">
                  <c:v>28-09-2025</c:v>
                </c:pt>
                <c:pt idx="212">
                  <c:v>30-09-2025</c:v>
                </c:pt>
                <c:pt idx="213">
                  <c:v>02-10-2025</c:v>
                </c:pt>
                <c:pt idx="214">
                  <c:v>04-10-2025</c:v>
                </c:pt>
                <c:pt idx="215">
                  <c:v>05-10-2025</c:v>
                </c:pt>
                <c:pt idx="216">
                  <c:v>06-10-2025</c:v>
                </c:pt>
                <c:pt idx="217">
                  <c:v>07-10-2025</c:v>
                </c:pt>
                <c:pt idx="218">
                  <c:v>09-10-2025</c:v>
                </c:pt>
                <c:pt idx="219">
                  <c:v>10-10-2025</c:v>
                </c:pt>
                <c:pt idx="220">
                  <c:v>11-10-2025</c:v>
                </c:pt>
                <c:pt idx="221">
                  <c:v>12-10-2025</c:v>
                </c:pt>
                <c:pt idx="222">
                  <c:v>15-10-2025</c:v>
                </c:pt>
                <c:pt idx="223">
                  <c:v>16-10-2025</c:v>
                </c:pt>
                <c:pt idx="224">
                  <c:v>18-10-2025</c:v>
                </c:pt>
                <c:pt idx="225">
                  <c:v>20-10-2025</c:v>
                </c:pt>
                <c:pt idx="226">
                  <c:v>22-10-2025</c:v>
                </c:pt>
                <c:pt idx="227">
                  <c:v>30-10-2025</c:v>
                </c:pt>
                <c:pt idx="228">
                  <c:v>02-11-2025</c:v>
                </c:pt>
                <c:pt idx="229">
                  <c:v>04-11-2025</c:v>
                </c:pt>
                <c:pt idx="230">
                  <c:v>06-11-2025</c:v>
                </c:pt>
                <c:pt idx="231">
                  <c:v>07-11-2025</c:v>
                </c:pt>
                <c:pt idx="232">
                  <c:v>09-11-2025</c:v>
                </c:pt>
                <c:pt idx="233">
                  <c:v>10-11-2025</c:v>
                </c:pt>
                <c:pt idx="234">
                  <c:v>11-11-2025</c:v>
                </c:pt>
                <c:pt idx="235">
                  <c:v>12-11-2025</c:v>
                </c:pt>
                <c:pt idx="236">
                  <c:v>15-11-2025</c:v>
                </c:pt>
                <c:pt idx="237">
                  <c:v>16-11-2025</c:v>
                </c:pt>
                <c:pt idx="238">
                  <c:v>18-11-2025</c:v>
                </c:pt>
                <c:pt idx="239">
                  <c:v>20-11-2025</c:v>
                </c:pt>
                <c:pt idx="240">
                  <c:v>21-11-2025</c:v>
                </c:pt>
                <c:pt idx="241">
                  <c:v>22-11-2025</c:v>
                </c:pt>
                <c:pt idx="242">
                  <c:v>25-11-2025</c:v>
                </c:pt>
                <c:pt idx="243">
                  <c:v>30-11-2025</c:v>
                </c:pt>
              </c:strCache>
            </c:strRef>
          </c:cat>
          <c:val>
            <c:numRef>
              <c:f>Data!$P$2:$P$246</c:f>
              <c:numCache>
                <c:formatCode>0.00</c:formatCode>
                <c:ptCount val="244"/>
                <c:pt idx="0">
                  <c:v>18</c:v>
                </c:pt>
                <c:pt idx="1">
                  <c:v>56</c:v>
                </c:pt>
                <c:pt idx="2">
                  <c:v>14</c:v>
                </c:pt>
                <c:pt idx="3">
                  <c:v>34</c:v>
                </c:pt>
                <c:pt idx="4">
                  <c:v>45</c:v>
                </c:pt>
                <c:pt idx="5">
                  <c:v>47</c:v>
                </c:pt>
                <c:pt idx="6">
                  <c:v>39</c:v>
                </c:pt>
                <c:pt idx="7">
                  <c:v>49</c:v>
                </c:pt>
                <c:pt idx="8">
                  <c:v>17</c:v>
                </c:pt>
                <c:pt idx="9">
                  <c:v>60</c:v>
                </c:pt>
                <c:pt idx="10">
                  <c:v>14</c:v>
                </c:pt>
                <c:pt idx="11">
                  <c:v>14</c:v>
                </c:pt>
                <c:pt idx="12">
                  <c:v>27</c:v>
                </c:pt>
                <c:pt idx="13">
                  <c:v>30</c:v>
                </c:pt>
                <c:pt idx="14">
                  <c:v>42</c:v>
                </c:pt>
                <c:pt idx="15">
                  <c:v>26</c:v>
                </c:pt>
                <c:pt idx="16">
                  <c:v>43</c:v>
                </c:pt>
                <c:pt idx="17">
                  <c:v>19</c:v>
                </c:pt>
                <c:pt idx="18">
                  <c:v>11</c:v>
                </c:pt>
                <c:pt idx="19">
                  <c:v>20</c:v>
                </c:pt>
                <c:pt idx="20">
                  <c:v>41</c:v>
                </c:pt>
                <c:pt idx="21">
                  <c:v>25</c:v>
                </c:pt>
                <c:pt idx="22">
                  <c:v>19</c:v>
                </c:pt>
                <c:pt idx="23">
                  <c:v>50</c:v>
                </c:pt>
                <c:pt idx="24">
                  <c:v>21</c:v>
                </c:pt>
                <c:pt idx="25">
                  <c:v>24</c:v>
                </c:pt>
                <c:pt idx="26">
                  <c:v>52</c:v>
                </c:pt>
                <c:pt idx="27">
                  <c:v>30</c:v>
                </c:pt>
                <c:pt idx="28">
                  <c:v>27</c:v>
                </c:pt>
                <c:pt idx="29">
                  <c:v>18</c:v>
                </c:pt>
                <c:pt idx="30">
                  <c:v>30</c:v>
                </c:pt>
                <c:pt idx="31">
                  <c:v>59</c:v>
                </c:pt>
                <c:pt idx="32">
                  <c:v>18</c:v>
                </c:pt>
                <c:pt idx="33">
                  <c:v>45</c:v>
                </c:pt>
                <c:pt idx="34">
                  <c:v>49</c:v>
                </c:pt>
                <c:pt idx="35">
                  <c:v>41</c:v>
                </c:pt>
                <c:pt idx="36">
                  <c:v>12</c:v>
                </c:pt>
                <c:pt idx="37">
                  <c:v>43</c:v>
                </c:pt>
                <c:pt idx="38">
                  <c:v>11</c:v>
                </c:pt>
                <c:pt idx="39">
                  <c:v>33.5</c:v>
                </c:pt>
                <c:pt idx="40">
                  <c:v>30</c:v>
                </c:pt>
                <c:pt idx="41">
                  <c:v>34</c:v>
                </c:pt>
                <c:pt idx="42">
                  <c:v>21</c:v>
                </c:pt>
                <c:pt idx="43">
                  <c:v>34</c:v>
                </c:pt>
                <c:pt idx="44">
                  <c:v>56</c:v>
                </c:pt>
                <c:pt idx="45">
                  <c:v>17</c:v>
                </c:pt>
                <c:pt idx="46">
                  <c:v>38.5</c:v>
                </c:pt>
                <c:pt idx="47">
                  <c:v>59</c:v>
                </c:pt>
                <c:pt idx="48">
                  <c:v>55</c:v>
                </c:pt>
                <c:pt idx="49">
                  <c:v>54.5</c:v>
                </c:pt>
                <c:pt idx="50">
                  <c:v>48</c:v>
                </c:pt>
                <c:pt idx="51">
                  <c:v>25</c:v>
                </c:pt>
                <c:pt idx="52">
                  <c:v>37</c:v>
                </c:pt>
                <c:pt idx="53">
                  <c:v>28</c:v>
                </c:pt>
                <c:pt idx="54">
                  <c:v>43</c:v>
                </c:pt>
                <c:pt idx="55">
                  <c:v>32</c:v>
                </c:pt>
                <c:pt idx="56">
                  <c:v>42</c:v>
                </c:pt>
                <c:pt idx="57">
                  <c:v>36</c:v>
                </c:pt>
                <c:pt idx="58">
                  <c:v>51</c:v>
                </c:pt>
                <c:pt idx="59">
                  <c:v>56</c:v>
                </c:pt>
                <c:pt idx="60">
                  <c:v>29</c:v>
                </c:pt>
                <c:pt idx="61">
                  <c:v>54</c:v>
                </c:pt>
                <c:pt idx="62">
                  <c:v>44</c:v>
                </c:pt>
                <c:pt idx="63">
                  <c:v>32</c:v>
                </c:pt>
                <c:pt idx="64">
                  <c:v>31</c:v>
                </c:pt>
                <c:pt idx="65">
                  <c:v>12</c:v>
                </c:pt>
                <c:pt idx="66">
                  <c:v>31</c:v>
                </c:pt>
                <c:pt idx="67">
                  <c:v>41</c:v>
                </c:pt>
                <c:pt idx="68">
                  <c:v>29</c:v>
                </c:pt>
                <c:pt idx="69">
                  <c:v>36</c:v>
                </c:pt>
                <c:pt idx="70">
                  <c:v>43</c:v>
                </c:pt>
                <c:pt idx="71">
                  <c:v>55</c:v>
                </c:pt>
                <c:pt idx="72">
                  <c:v>40</c:v>
                </c:pt>
                <c:pt idx="73">
                  <c:v>18</c:v>
                </c:pt>
                <c:pt idx="74">
                  <c:v>41.5</c:v>
                </c:pt>
                <c:pt idx="75">
                  <c:v>53</c:v>
                </c:pt>
                <c:pt idx="76">
                  <c:v>18</c:v>
                </c:pt>
                <c:pt idx="77">
                  <c:v>38</c:v>
                </c:pt>
                <c:pt idx="78">
                  <c:v>60</c:v>
                </c:pt>
                <c:pt idx="79">
                  <c:v>52</c:v>
                </c:pt>
                <c:pt idx="80">
                  <c:v>21</c:v>
                </c:pt>
                <c:pt idx="81">
                  <c:v>41</c:v>
                </c:pt>
                <c:pt idx="82">
                  <c:v>26</c:v>
                </c:pt>
                <c:pt idx="83">
                  <c:v>32</c:v>
                </c:pt>
                <c:pt idx="84">
                  <c:v>17</c:v>
                </c:pt>
                <c:pt idx="85">
                  <c:v>15</c:v>
                </c:pt>
                <c:pt idx="86">
                  <c:v>12</c:v>
                </c:pt>
                <c:pt idx="87">
                  <c:v>57</c:v>
                </c:pt>
                <c:pt idx="88">
                  <c:v>57</c:v>
                </c:pt>
                <c:pt idx="89">
                  <c:v>11</c:v>
                </c:pt>
                <c:pt idx="90">
                  <c:v>35</c:v>
                </c:pt>
                <c:pt idx="91">
                  <c:v>11</c:v>
                </c:pt>
                <c:pt idx="92">
                  <c:v>13</c:v>
                </c:pt>
                <c:pt idx="93">
                  <c:v>53</c:v>
                </c:pt>
                <c:pt idx="94">
                  <c:v>15</c:v>
                </c:pt>
                <c:pt idx="95">
                  <c:v>41</c:v>
                </c:pt>
                <c:pt idx="96">
                  <c:v>38</c:v>
                </c:pt>
                <c:pt idx="97">
                  <c:v>27</c:v>
                </c:pt>
                <c:pt idx="98">
                  <c:v>33</c:v>
                </c:pt>
                <c:pt idx="99">
                  <c:v>51</c:v>
                </c:pt>
                <c:pt idx="100">
                  <c:v>34</c:v>
                </c:pt>
                <c:pt idx="101">
                  <c:v>33</c:v>
                </c:pt>
                <c:pt idx="102">
                  <c:v>53</c:v>
                </c:pt>
                <c:pt idx="103">
                  <c:v>24</c:v>
                </c:pt>
                <c:pt idx="104">
                  <c:v>14</c:v>
                </c:pt>
                <c:pt idx="105">
                  <c:v>16</c:v>
                </c:pt>
                <c:pt idx="106">
                  <c:v>11</c:v>
                </c:pt>
                <c:pt idx="107">
                  <c:v>22</c:v>
                </c:pt>
                <c:pt idx="108">
                  <c:v>28.5</c:v>
                </c:pt>
                <c:pt idx="109">
                  <c:v>17.333333333333332</c:v>
                </c:pt>
                <c:pt idx="110">
                  <c:v>12.5</c:v>
                </c:pt>
                <c:pt idx="111">
                  <c:v>43.5</c:v>
                </c:pt>
                <c:pt idx="112">
                  <c:v>27</c:v>
                </c:pt>
                <c:pt idx="113">
                  <c:v>11.5</c:v>
                </c:pt>
                <c:pt idx="114">
                  <c:v>29</c:v>
                </c:pt>
                <c:pt idx="115">
                  <c:v>33</c:v>
                </c:pt>
                <c:pt idx="116">
                  <c:v>24.5</c:v>
                </c:pt>
                <c:pt idx="117">
                  <c:v>21.5</c:v>
                </c:pt>
                <c:pt idx="118">
                  <c:v>41.333333333333336</c:v>
                </c:pt>
                <c:pt idx="119">
                  <c:v>48</c:v>
                </c:pt>
                <c:pt idx="120">
                  <c:v>39</c:v>
                </c:pt>
                <c:pt idx="121">
                  <c:v>25</c:v>
                </c:pt>
                <c:pt idx="122">
                  <c:v>32</c:v>
                </c:pt>
                <c:pt idx="123">
                  <c:v>35</c:v>
                </c:pt>
                <c:pt idx="124">
                  <c:v>49</c:v>
                </c:pt>
                <c:pt idx="125">
                  <c:v>37</c:v>
                </c:pt>
                <c:pt idx="126">
                  <c:v>43</c:v>
                </c:pt>
                <c:pt idx="127">
                  <c:v>52</c:v>
                </c:pt>
                <c:pt idx="128">
                  <c:v>49</c:v>
                </c:pt>
                <c:pt idx="129">
                  <c:v>37</c:v>
                </c:pt>
                <c:pt idx="130">
                  <c:v>57</c:v>
                </c:pt>
                <c:pt idx="131">
                  <c:v>56</c:v>
                </c:pt>
                <c:pt idx="132">
                  <c:v>21</c:v>
                </c:pt>
                <c:pt idx="133">
                  <c:v>28</c:v>
                </c:pt>
                <c:pt idx="134">
                  <c:v>49</c:v>
                </c:pt>
                <c:pt idx="135">
                  <c:v>22</c:v>
                </c:pt>
                <c:pt idx="136">
                  <c:v>10</c:v>
                </c:pt>
                <c:pt idx="137">
                  <c:v>52</c:v>
                </c:pt>
                <c:pt idx="138">
                  <c:v>43</c:v>
                </c:pt>
                <c:pt idx="139">
                  <c:v>56</c:v>
                </c:pt>
                <c:pt idx="140">
                  <c:v>20</c:v>
                </c:pt>
                <c:pt idx="141">
                  <c:v>52</c:v>
                </c:pt>
                <c:pt idx="142">
                  <c:v>42</c:v>
                </c:pt>
                <c:pt idx="143">
                  <c:v>43</c:v>
                </c:pt>
                <c:pt idx="144">
                  <c:v>40</c:v>
                </c:pt>
                <c:pt idx="145">
                  <c:v>44</c:v>
                </c:pt>
                <c:pt idx="146">
                  <c:v>28</c:v>
                </c:pt>
                <c:pt idx="147">
                  <c:v>27</c:v>
                </c:pt>
                <c:pt idx="148">
                  <c:v>30</c:v>
                </c:pt>
                <c:pt idx="149">
                  <c:v>25</c:v>
                </c:pt>
                <c:pt idx="150">
                  <c:v>10</c:v>
                </c:pt>
                <c:pt idx="151">
                  <c:v>28</c:v>
                </c:pt>
                <c:pt idx="152">
                  <c:v>32</c:v>
                </c:pt>
                <c:pt idx="153">
                  <c:v>57</c:v>
                </c:pt>
                <c:pt idx="154">
                  <c:v>59</c:v>
                </c:pt>
                <c:pt idx="155">
                  <c:v>18</c:v>
                </c:pt>
                <c:pt idx="156">
                  <c:v>25</c:v>
                </c:pt>
                <c:pt idx="157">
                  <c:v>36</c:v>
                </c:pt>
                <c:pt idx="158">
                  <c:v>59</c:v>
                </c:pt>
                <c:pt idx="159">
                  <c:v>51</c:v>
                </c:pt>
                <c:pt idx="160">
                  <c:v>46</c:v>
                </c:pt>
                <c:pt idx="161">
                  <c:v>12</c:v>
                </c:pt>
                <c:pt idx="162">
                  <c:v>49</c:v>
                </c:pt>
                <c:pt idx="163">
                  <c:v>53</c:v>
                </c:pt>
                <c:pt idx="164">
                  <c:v>52</c:v>
                </c:pt>
                <c:pt idx="165">
                  <c:v>31</c:v>
                </c:pt>
                <c:pt idx="166">
                  <c:v>50</c:v>
                </c:pt>
                <c:pt idx="167">
                  <c:v>44</c:v>
                </c:pt>
                <c:pt idx="168">
                  <c:v>11</c:v>
                </c:pt>
                <c:pt idx="169">
                  <c:v>52</c:v>
                </c:pt>
                <c:pt idx="170">
                  <c:v>58</c:v>
                </c:pt>
                <c:pt idx="171">
                  <c:v>51</c:v>
                </c:pt>
                <c:pt idx="172">
                  <c:v>10</c:v>
                </c:pt>
                <c:pt idx="173">
                  <c:v>14</c:v>
                </c:pt>
                <c:pt idx="174">
                  <c:v>55</c:v>
                </c:pt>
                <c:pt idx="175">
                  <c:v>21</c:v>
                </c:pt>
                <c:pt idx="176">
                  <c:v>60</c:v>
                </c:pt>
                <c:pt idx="177">
                  <c:v>11</c:v>
                </c:pt>
                <c:pt idx="178">
                  <c:v>23</c:v>
                </c:pt>
                <c:pt idx="179">
                  <c:v>33</c:v>
                </c:pt>
                <c:pt idx="180">
                  <c:v>57</c:v>
                </c:pt>
                <c:pt idx="181">
                  <c:v>13</c:v>
                </c:pt>
                <c:pt idx="182">
                  <c:v>40</c:v>
                </c:pt>
                <c:pt idx="183">
                  <c:v>36</c:v>
                </c:pt>
                <c:pt idx="184">
                  <c:v>38</c:v>
                </c:pt>
                <c:pt idx="185">
                  <c:v>43</c:v>
                </c:pt>
                <c:pt idx="186">
                  <c:v>27</c:v>
                </c:pt>
                <c:pt idx="187">
                  <c:v>30</c:v>
                </c:pt>
                <c:pt idx="188">
                  <c:v>44</c:v>
                </c:pt>
                <c:pt idx="189">
                  <c:v>39</c:v>
                </c:pt>
                <c:pt idx="190">
                  <c:v>59</c:v>
                </c:pt>
                <c:pt idx="191">
                  <c:v>45</c:v>
                </c:pt>
                <c:pt idx="192">
                  <c:v>48</c:v>
                </c:pt>
                <c:pt idx="193">
                  <c:v>21</c:v>
                </c:pt>
                <c:pt idx="194">
                  <c:v>27</c:v>
                </c:pt>
                <c:pt idx="195">
                  <c:v>44</c:v>
                </c:pt>
                <c:pt idx="196">
                  <c:v>18</c:v>
                </c:pt>
                <c:pt idx="197">
                  <c:v>44</c:v>
                </c:pt>
                <c:pt idx="198">
                  <c:v>44</c:v>
                </c:pt>
                <c:pt idx="199">
                  <c:v>26.5</c:v>
                </c:pt>
                <c:pt idx="200">
                  <c:v>10</c:v>
                </c:pt>
                <c:pt idx="201">
                  <c:v>39</c:v>
                </c:pt>
                <c:pt idx="202">
                  <c:v>38</c:v>
                </c:pt>
                <c:pt idx="203">
                  <c:v>28</c:v>
                </c:pt>
                <c:pt idx="204">
                  <c:v>30</c:v>
                </c:pt>
                <c:pt idx="205">
                  <c:v>50.5</c:v>
                </c:pt>
                <c:pt idx="206">
                  <c:v>51</c:v>
                </c:pt>
                <c:pt idx="207">
                  <c:v>23</c:v>
                </c:pt>
                <c:pt idx="208">
                  <c:v>23</c:v>
                </c:pt>
                <c:pt idx="209">
                  <c:v>12</c:v>
                </c:pt>
                <c:pt idx="210">
                  <c:v>58</c:v>
                </c:pt>
                <c:pt idx="211">
                  <c:v>44</c:v>
                </c:pt>
                <c:pt idx="212">
                  <c:v>35.5</c:v>
                </c:pt>
                <c:pt idx="213">
                  <c:v>47</c:v>
                </c:pt>
                <c:pt idx="214">
                  <c:v>31.5</c:v>
                </c:pt>
                <c:pt idx="215">
                  <c:v>13</c:v>
                </c:pt>
                <c:pt idx="216">
                  <c:v>31</c:v>
                </c:pt>
                <c:pt idx="217">
                  <c:v>39</c:v>
                </c:pt>
                <c:pt idx="218">
                  <c:v>26</c:v>
                </c:pt>
                <c:pt idx="219">
                  <c:v>42</c:v>
                </c:pt>
                <c:pt idx="220">
                  <c:v>55</c:v>
                </c:pt>
                <c:pt idx="221">
                  <c:v>10</c:v>
                </c:pt>
                <c:pt idx="222">
                  <c:v>60</c:v>
                </c:pt>
                <c:pt idx="223">
                  <c:v>27</c:v>
                </c:pt>
                <c:pt idx="224">
                  <c:v>52</c:v>
                </c:pt>
                <c:pt idx="225">
                  <c:v>30</c:v>
                </c:pt>
                <c:pt idx="226">
                  <c:v>11</c:v>
                </c:pt>
                <c:pt idx="227">
                  <c:v>36</c:v>
                </c:pt>
                <c:pt idx="228">
                  <c:v>42.5</c:v>
                </c:pt>
                <c:pt idx="229">
                  <c:v>39</c:v>
                </c:pt>
                <c:pt idx="230">
                  <c:v>49.5</c:v>
                </c:pt>
                <c:pt idx="231">
                  <c:v>34</c:v>
                </c:pt>
                <c:pt idx="232">
                  <c:v>26.666666666666668</c:v>
                </c:pt>
                <c:pt idx="233">
                  <c:v>40</c:v>
                </c:pt>
                <c:pt idx="234">
                  <c:v>50</c:v>
                </c:pt>
                <c:pt idx="235">
                  <c:v>37</c:v>
                </c:pt>
                <c:pt idx="236">
                  <c:v>31</c:v>
                </c:pt>
                <c:pt idx="237">
                  <c:v>36.666666666666664</c:v>
                </c:pt>
                <c:pt idx="238">
                  <c:v>37.5</c:v>
                </c:pt>
                <c:pt idx="239">
                  <c:v>42.5</c:v>
                </c:pt>
                <c:pt idx="240">
                  <c:v>43</c:v>
                </c:pt>
                <c:pt idx="241">
                  <c:v>34.5</c:v>
                </c:pt>
                <c:pt idx="242">
                  <c:v>22</c:v>
                </c:pt>
                <c:pt idx="243">
                  <c:v>43</c:v>
                </c:pt>
              </c:numCache>
            </c:numRef>
          </c:val>
          <c:extLst>
            <c:ext xmlns:c16="http://schemas.microsoft.com/office/drawing/2014/chart" uri="{C3380CC4-5D6E-409C-BE32-E72D297353CC}">
              <c16:uniqueId val="{00000001-D22A-48E9-97F0-9D01DDBC45E7}"/>
            </c:ext>
          </c:extLst>
        </c:ser>
        <c:dLbls>
          <c:showLegendKey val="0"/>
          <c:showVal val="0"/>
          <c:showCatName val="0"/>
          <c:showSerName val="0"/>
          <c:showPercent val="0"/>
          <c:showBubbleSize val="0"/>
        </c:dLbls>
        <c:axId val="1441386624"/>
        <c:axId val="1441376064"/>
      </c:areaChart>
      <c:catAx>
        <c:axId val="1441386624"/>
        <c:scaling>
          <c:orientation val="minMax"/>
        </c:scaling>
        <c:delete val="1"/>
        <c:axPos val="b"/>
        <c:numFmt formatCode="General" sourceLinked="1"/>
        <c:majorTickMark val="none"/>
        <c:minorTickMark val="none"/>
        <c:tickLblPos val="nextTo"/>
        <c:crossAx val="1441376064"/>
        <c:crosses val="autoZero"/>
        <c:auto val="1"/>
        <c:lblAlgn val="ctr"/>
        <c:lblOffset val="100"/>
        <c:noMultiLvlLbl val="0"/>
      </c:catAx>
      <c:valAx>
        <c:axId val="1441376064"/>
        <c:scaling>
          <c:orientation val="minMax"/>
        </c:scaling>
        <c:delete val="1"/>
        <c:axPos val="l"/>
        <c:numFmt formatCode="0.00" sourceLinked="1"/>
        <c:majorTickMark val="none"/>
        <c:minorTickMark val="none"/>
        <c:tickLblPos val="nextTo"/>
        <c:crossAx val="14413866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Dashboard.xlsx]Data!PivotTable6</c:name>
    <c:fmtId val="31"/>
  </c:pivotSource>
  <c:chart>
    <c:autoTitleDeleted val="1"/>
    <c:pivotFmts>
      <c:pivotFmt>
        <c:idx val="0"/>
        <c:spPr>
          <a:solidFill>
            <a:schemeClr val="accent6">
              <a:lumMod val="60000"/>
              <a:lumOff val="40000"/>
            </a:schemeClr>
          </a:solidFill>
          <a:ln>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949624866023578E-2"/>
          <c:y val="7.0921985815602842E-2"/>
          <c:w val="0.94105037513397638"/>
          <c:h val="0.73404255319148937"/>
        </c:manualLayout>
      </c:layout>
      <c:areaChart>
        <c:grouping val="standard"/>
        <c:varyColors val="0"/>
        <c:ser>
          <c:idx val="0"/>
          <c:order val="0"/>
          <c:tx>
            <c:strRef>
              <c:f>Data!$S$1</c:f>
              <c:strCache>
                <c:ptCount val="1"/>
                <c:pt idx="0">
                  <c:v>Total</c:v>
                </c:pt>
              </c:strCache>
            </c:strRef>
          </c:tx>
          <c:spPr>
            <a:solidFill>
              <a:schemeClr val="accent6">
                <a:lumMod val="60000"/>
                <a:lumOff val="40000"/>
              </a:schemeClr>
            </a:solidFill>
            <a:ln>
              <a:solidFill>
                <a:schemeClr val="accent6">
                  <a:lumMod val="60000"/>
                  <a:lumOff val="40000"/>
                </a:schemeClr>
              </a:solidFill>
            </a:ln>
            <a:effectLst/>
          </c:spPr>
          <c:cat>
            <c:strRef>
              <c:f>Data!$R$2:$R$246</c:f>
              <c:strCache>
                <c:ptCount val="244"/>
                <c:pt idx="0">
                  <c:v>01-01-2024</c:v>
                </c:pt>
                <c:pt idx="1">
                  <c:v>03-01-2024</c:v>
                </c:pt>
                <c:pt idx="2">
                  <c:v>08-01-2024</c:v>
                </c:pt>
                <c:pt idx="3">
                  <c:v>13-01-2024</c:v>
                </c:pt>
                <c:pt idx="4">
                  <c:v>15-01-2024</c:v>
                </c:pt>
                <c:pt idx="5">
                  <c:v>21-01-2024</c:v>
                </c:pt>
                <c:pt idx="6">
                  <c:v>31-01-2024</c:v>
                </c:pt>
                <c:pt idx="7">
                  <c:v>28-02-2024</c:v>
                </c:pt>
                <c:pt idx="8">
                  <c:v>03-03-2024</c:v>
                </c:pt>
                <c:pt idx="9">
                  <c:v>06-03-2024</c:v>
                </c:pt>
                <c:pt idx="10">
                  <c:v>08-03-2024</c:v>
                </c:pt>
                <c:pt idx="11">
                  <c:v>13-03-2024</c:v>
                </c:pt>
                <c:pt idx="12">
                  <c:v>14-03-2024</c:v>
                </c:pt>
                <c:pt idx="13">
                  <c:v>17-03-2024</c:v>
                </c:pt>
                <c:pt idx="14">
                  <c:v>19-03-2024</c:v>
                </c:pt>
                <c:pt idx="15">
                  <c:v>21-03-2024</c:v>
                </c:pt>
                <c:pt idx="16">
                  <c:v>22-03-2024</c:v>
                </c:pt>
                <c:pt idx="17">
                  <c:v>24-03-2024</c:v>
                </c:pt>
                <c:pt idx="18">
                  <c:v>25-03-2024</c:v>
                </c:pt>
                <c:pt idx="19">
                  <c:v>26-03-2024</c:v>
                </c:pt>
                <c:pt idx="20">
                  <c:v>27-03-2024</c:v>
                </c:pt>
                <c:pt idx="21">
                  <c:v>28-03-2024</c:v>
                </c:pt>
                <c:pt idx="22">
                  <c:v>29-03-2024</c:v>
                </c:pt>
                <c:pt idx="23">
                  <c:v>31-03-2024</c:v>
                </c:pt>
                <c:pt idx="24">
                  <c:v>03-04-2024</c:v>
                </c:pt>
                <c:pt idx="25">
                  <c:v>04-04-2024</c:v>
                </c:pt>
                <c:pt idx="26">
                  <c:v>13-04-2024</c:v>
                </c:pt>
                <c:pt idx="27">
                  <c:v>23-04-2024</c:v>
                </c:pt>
                <c:pt idx="28">
                  <c:v>25-04-2024</c:v>
                </c:pt>
                <c:pt idx="29">
                  <c:v>27-04-2024</c:v>
                </c:pt>
                <c:pt idx="30">
                  <c:v>03-05-2024</c:v>
                </c:pt>
                <c:pt idx="31">
                  <c:v>08-05-2024</c:v>
                </c:pt>
                <c:pt idx="32">
                  <c:v>13-05-2024</c:v>
                </c:pt>
                <c:pt idx="33">
                  <c:v>14-05-2024</c:v>
                </c:pt>
                <c:pt idx="34">
                  <c:v>17-05-2024</c:v>
                </c:pt>
                <c:pt idx="35">
                  <c:v>19-05-2024</c:v>
                </c:pt>
                <c:pt idx="36">
                  <c:v>21-05-2024</c:v>
                </c:pt>
                <c:pt idx="37">
                  <c:v>24-05-2024</c:v>
                </c:pt>
                <c:pt idx="38">
                  <c:v>25-05-2024</c:v>
                </c:pt>
                <c:pt idx="39">
                  <c:v>26-05-2024</c:v>
                </c:pt>
                <c:pt idx="40">
                  <c:v>27-05-2024</c:v>
                </c:pt>
                <c:pt idx="41">
                  <c:v>28-05-2024</c:v>
                </c:pt>
                <c:pt idx="42">
                  <c:v>29-05-2024</c:v>
                </c:pt>
                <c:pt idx="43">
                  <c:v>31-05-2024</c:v>
                </c:pt>
                <c:pt idx="44">
                  <c:v>03-06-2024</c:v>
                </c:pt>
                <c:pt idx="45">
                  <c:v>08-06-2024</c:v>
                </c:pt>
                <c:pt idx="46">
                  <c:v>13-06-2024</c:v>
                </c:pt>
                <c:pt idx="47">
                  <c:v>14-06-2024</c:v>
                </c:pt>
                <c:pt idx="48">
                  <c:v>17-06-2024</c:v>
                </c:pt>
                <c:pt idx="49">
                  <c:v>19-06-2024</c:v>
                </c:pt>
                <c:pt idx="50">
                  <c:v>21-06-2024</c:v>
                </c:pt>
                <c:pt idx="51">
                  <c:v>24-06-2024</c:v>
                </c:pt>
                <c:pt idx="52">
                  <c:v>25-06-2024</c:v>
                </c:pt>
                <c:pt idx="53">
                  <c:v>26-06-2024</c:v>
                </c:pt>
                <c:pt idx="54">
                  <c:v>27-06-2024</c:v>
                </c:pt>
                <c:pt idx="55">
                  <c:v>28-06-2024</c:v>
                </c:pt>
                <c:pt idx="56">
                  <c:v>29-06-2024</c:v>
                </c:pt>
                <c:pt idx="57">
                  <c:v>17-07-2024</c:v>
                </c:pt>
                <c:pt idx="58">
                  <c:v>19-07-2024</c:v>
                </c:pt>
                <c:pt idx="59">
                  <c:v>26-07-2024</c:v>
                </c:pt>
                <c:pt idx="60">
                  <c:v>29-07-2024</c:v>
                </c:pt>
                <c:pt idx="61">
                  <c:v>03-08-2024</c:v>
                </c:pt>
                <c:pt idx="62">
                  <c:v>07-08-2024</c:v>
                </c:pt>
                <c:pt idx="63">
                  <c:v>08-08-2024</c:v>
                </c:pt>
                <c:pt idx="64">
                  <c:v>13-08-2024</c:v>
                </c:pt>
                <c:pt idx="65">
                  <c:v>14-08-2024</c:v>
                </c:pt>
                <c:pt idx="66">
                  <c:v>17-08-2024</c:v>
                </c:pt>
                <c:pt idx="67">
                  <c:v>19-08-2024</c:v>
                </c:pt>
                <c:pt idx="68">
                  <c:v>21-08-2024</c:v>
                </c:pt>
                <c:pt idx="69">
                  <c:v>24-08-2024</c:v>
                </c:pt>
                <c:pt idx="70">
                  <c:v>25-08-2024</c:v>
                </c:pt>
                <c:pt idx="71">
                  <c:v>26-08-2024</c:v>
                </c:pt>
                <c:pt idx="72">
                  <c:v>27-08-2024</c:v>
                </c:pt>
                <c:pt idx="73">
                  <c:v>28-08-2024</c:v>
                </c:pt>
                <c:pt idx="74">
                  <c:v>29-08-2024</c:v>
                </c:pt>
                <c:pt idx="75">
                  <c:v>30-08-2024</c:v>
                </c:pt>
                <c:pt idx="76">
                  <c:v>31-08-2024</c:v>
                </c:pt>
                <c:pt idx="77">
                  <c:v>03-09-2024</c:v>
                </c:pt>
                <c:pt idx="78">
                  <c:v>08-09-2024</c:v>
                </c:pt>
                <c:pt idx="79">
                  <c:v>13-09-2024</c:v>
                </c:pt>
                <c:pt idx="80">
                  <c:v>14-09-2024</c:v>
                </c:pt>
                <c:pt idx="81">
                  <c:v>19-09-2024</c:v>
                </c:pt>
                <c:pt idx="82">
                  <c:v>21-09-2024</c:v>
                </c:pt>
                <c:pt idx="83">
                  <c:v>24-09-2024</c:v>
                </c:pt>
                <c:pt idx="84">
                  <c:v>25-09-2024</c:v>
                </c:pt>
                <c:pt idx="85">
                  <c:v>27-09-2024</c:v>
                </c:pt>
                <c:pt idx="86">
                  <c:v>28-09-2024</c:v>
                </c:pt>
                <c:pt idx="87">
                  <c:v>29-09-2024</c:v>
                </c:pt>
                <c:pt idx="88">
                  <c:v>03-10-2024</c:v>
                </c:pt>
                <c:pt idx="89">
                  <c:v>08-10-2024</c:v>
                </c:pt>
                <c:pt idx="90">
                  <c:v>09-10-2024</c:v>
                </c:pt>
                <c:pt idx="91">
                  <c:v>13-10-2024</c:v>
                </c:pt>
                <c:pt idx="92">
                  <c:v>14-10-2024</c:v>
                </c:pt>
                <c:pt idx="93">
                  <c:v>17-10-2024</c:v>
                </c:pt>
                <c:pt idx="94">
                  <c:v>19-10-2024</c:v>
                </c:pt>
                <c:pt idx="95">
                  <c:v>24-10-2024</c:v>
                </c:pt>
                <c:pt idx="96">
                  <c:v>25-10-2024</c:v>
                </c:pt>
                <c:pt idx="97">
                  <c:v>26-10-2024</c:v>
                </c:pt>
                <c:pt idx="98">
                  <c:v>27-10-2024</c:v>
                </c:pt>
                <c:pt idx="99">
                  <c:v>28-10-2024</c:v>
                </c:pt>
                <c:pt idx="100">
                  <c:v>29-10-2024</c:v>
                </c:pt>
                <c:pt idx="101">
                  <c:v>31-10-2024</c:v>
                </c:pt>
                <c:pt idx="102">
                  <c:v>14-11-2024</c:v>
                </c:pt>
                <c:pt idx="103">
                  <c:v>02-12-2024</c:v>
                </c:pt>
                <c:pt idx="104">
                  <c:v>03-12-2024</c:v>
                </c:pt>
                <c:pt idx="105">
                  <c:v>08-12-2024</c:v>
                </c:pt>
                <c:pt idx="106">
                  <c:v>09-12-2024</c:v>
                </c:pt>
                <c:pt idx="107">
                  <c:v>11-12-2024</c:v>
                </c:pt>
                <c:pt idx="108">
                  <c:v>13-12-2024</c:v>
                </c:pt>
                <c:pt idx="109">
                  <c:v>14-12-2024</c:v>
                </c:pt>
                <c:pt idx="110">
                  <c:v>17-12-2024</c:v>
                </c:pt>
                <c:pt idx="111">
                  <c:v>19-12-2024</c:v>
                </c:pt>
                <c:pt idx="112">
                  <c:v>21-12-2024</c:v>
                </c:pt>
                <c:pt idx="113">
                  <c:v>24-12-2024</c:v>
                </c:pt>
                <c:pt idx="114">
                  <c:v>25-12-2024</c:v>
                </c:pt>
                <c:pt idx="115">
                  <c:v>26-12-2024</c:v>
                </c:pt>
                <c:pt idx="116">
                  <c:v>27-12-2024</c:v>
                </c:pt>
                <c:pt idx="117">
                  <c:v>28-12-2024</c:v>
                </c:pt>
                <c:pt idx="118">
                  <c:v>29-12-2024</c:v>
                </c:pt>
                <c:pt idx="119">
                  <c:v>31-12-2024</c:v>
                </c:pt>
                <c:pt idx="120">
                  <c:v>04-01-2025</c:v>
                </c:pt>
                <c:pt idx="121">
                  <c:v>06-01-2025</c:v>
                </c:pt>
                <c:pt idx="122">
                  <c:v>07-01-2025</c:v>
                </c:pt>
                <c:pt idx="123">
                  <c:v>11-01-2025</c:v>
                </c:pt>
                <c:pt idx="124">
                  <c:v>12-01-2025</c:v>
                </c:pt>
                <c:pt idx="125">
                  <c:v>16-01-2025</c:v>
                </c:pt>
                <c:pt idx="126">
                  <c:v>17-01-2025</c:v>
                </c:pt>
                <c:pt idx="127">
                  <c:v>24-01-2025</c:v>
                </c:pt>
                <c:pt idx="128">
                  <c:v>30-01-2025</c:v>
                </c:pt>
                <c:pt idx="129">
                  <c:v>02-02-2025</c:v>
                </c:pt>
                <c:pt idx="130">
                  <c:v>03-02-2025</c:v>
                </c:pt>
                <c:pt idx="131">
                  <c:v>07-02-2025</c:v>
                </c:pt>
                <c:pt idx="132">
                  <c:v>09-02-2025</c:v>
                </c:pt>
                <c:pt idx="133">
                  <c:v>10-02-2025</c:v>
                </c:pt>
                <c:pt idx="134">
                  <c:v>11-02-2025</c:v>
                </c:pt>
                <c:pt idx="135">
                  <c:v>12-02-2025</c:v>
                </c:pt>
                <c:pt idx="136">
                  <c:v>15-02-2025</c:v>
                </c:pt>
                <c:pt idx="137">
                  <c:v>16-02-2025</c:v>
                </c:pt>
                <c:pt idx="138">
                  <c:v>18-02-2025</c:v>
                </c:pt>
                <c:pt idx="139">
                  <c:v>20-02-2025</c:v>
                </c:pt>
                <c:pt idx="140">
                  <c:v>22-02-2025</c:v>
                </c:pt>
                <c:pt idx="141">
                  <c:v>02-03-2025</c:v>
                </c:pt>
                <c:pt idx="142">
                  <c:v>07-03-2025</c:v>
                </c:pt>
                <c:pt idx="143">
                  <c:v>10-03-2025</c:v>
                </c:pt>
                <c:pt idx="144">
                  <c:v>11-03-2025</c:v>
                </c:pt>
                <c:pt idx="145">
                  <c:v>16-03-2025</c:v>
                </c:pt>
                <c:pt idx="146">
                  <c:v>02-04-2025</c:v>
                </c:pt>
                <c:pt idx="147">
                  <c:v>04-04-2025</c:v>
                </c:pt>
                <c:pt idx="148">
                  <c:v>06-04-2025</c:v>
                </c:pt>
                <c:pt idx="149">
                  <c:v>07-04-2025</c:v>
                </c:pt>
                <c:pt idx="150">
                  <c:v>09-04-2025</c:v>
                </c:pt>
                <c:pt idx="151">
                  <c:v>10-04-2025</c:v>
                </c:pt>
                <c:pt idx="152">
                  <c:v>11-04-2025</c:v>
                </c:pt>
                <c:pt idx="153">
                  <c:v>12-04-2025</c:v>
                </c:pt>
                <c:pt idx="154">
                  <c:v>15-04-2025</c:v>
                </c:pt>
                <c:pt idx="155">
                  <c:v>17-04-2025</c:v>
                </c:pt>
                <c:pt idx="156">
                  <c:v>18-04-2025</c:v>
                </c:pt>
                <c:pt idx="157">
                  <c:v>20-04-2025</c:v>
                </c:pt>
                <c:pt idx="158">
                  <c:v>22-04-2025</c:v>
                </c:pt>
                <c:pt idx="159">
                  <c:v>30-04-2025</c:v>
                </c:pt>
                <c:pt idx="160">
                  <c:v>02-05-2025</c:v>
                </c:pt>
                <c:pt idx="161">
                  <c:v>04-05-2025</c:v>
                </c:pt>
                <c:pt idx="162">
                  <c:v>05-05-2025</c:v>
                </c:pt>
                <c:pt idx="163">
                  <c:v>06-05-2025</c:v>
                </c:pt>
                <c:pt idx="164">
                  <c:v>09-05-2025</c:v>
                </c:pt>
                <c:pt idx="165">
                  <c:v>10-05-2025</c:v>
                </c:pt>
                <c:pt idx="166">
                  <c:v>12-05-2025</c:v>
                </c:pt>
                <c:pt idx="167">
                  <c:v>15-05-2025</c:v>
                </c:pt>
                <c:pt idx="168">
                  <c:v>16-05-2025</c:v>
                </c:pt>
                <c:pt idx="169">
                  <c:v>18-05-2025</c:v>
                </c:pt>
                <c:pt idx="170">
                  <c:v>20-05-2025</c:v>
                </c:pt>
                <c:pt idx="171">
                  <c:v>22-05-2025</c:v>
                </c:pt>
                <c:pt idx="172">
                  <c:v>30-05-2025</c:v>
                </c:pt>
                <c:pt idx="173">
                  <c:v>11-06-2025</c:v>
                </c:pt>
                <c:pt idx="174">
                  <c:v>16-06-2025</c:v>
                </c:pt>
                <c:pt idx="175">
                  <c:v>18-06-2025</c:v>
                </c:pt>
                <c:pt idx="176">
                  <c:v>20-06-2025</c:v>
                </c:pt>
                <c:pt idx="177">
                  <c:v>22-06-2025</c:v>
                </c:pt>
                <c:pt idx="178">
                  <c:v>27-06-2025</c:v>
                </c:pt>
                <c:pt idx="179">
                  <c:v>02-07-2025</c:v>
                </c:pt>
                <c:pt idx="180">
                  <c:v>04-07-2025</c:v>
                </c:pt>
                <c:pt idx="181">
                  <c:v>06-07-2025</c:v>
                </c:pt>
                <c:pt idx="182">
                  <c:v>07-07-2025</c:v>
                </c:pt>
                <c:pt idx="183">
                  <c:v>08-07-2025</c:v>
                </c:pt>
                <c:pt idx="184">
                  <c:v>09-07-2025</c:v>
                </c:pt>
                <c:pt idx="185">
                  <c:v>10-07-2025</c:v>
                </c:pt>
                <c:pt idx="186">
                  <c:v>11-07-2025</c:v>
                </c:pt>
                <c:pt idx="187">
                  <c:v>12-07-2025</c:v>
                </c:pt>
                <c:pt idx="188">
                  <c:v>15-07-2025</c:v>
                </c:pt>
                <c:pt idx="189">
                  <c:v>16-07-2025</c:v>
                </c:pt>
                <c:pt idx="190">
                  <c:v>18-07-2025</c:v>
                </c:pt>
                <c:pt idx="191">
                  <c:v>20-07-2025</c:v>
                </c:pt>
                <c:pt idx="192">
                  <c:v>22-07-2025</c:v>
                </c:pt>
                <c:pt idx="193">
                  <c:v>30-07-2025</c:v>
                </c:pt>
                <c:pt idx="194">
                  <c:v>31-07-2025</c:v>
                </c:pt>
                <c:pt idx="195">
                  <c:v>06-08-2025</c:v>
                </c:pt>
                <c:pt idx="196">
                  <c:v>18-08-2025</c:v>
                </c:pt>
                <c:pt idx="197">
                  <c:v>22-08-2025</c:v>
                </c:pt>
                <c:pt idx="198">
                  <c:v>02-09-2025</c:v>
                </c:pt>
                <c:pt idx="199">
                  <c:v>04-09-2025</c:v>
                </c:pt>
                <c:pt idx="200">
                  <c:v>06-09-2025</c:v>
                </c:pt>
                <c:pt idx="201">
                  <c:v>07-09-2025</c:v>
                </c:pt>
                <c:pt idx="202">
                  <c:v>09-09-2025</c:v>
                </c:pt>
                <c:pt idx="203">
                  <c:v>10-09-2025</c:v>
                </c:pt>
                <c:pt idx="204">
                  <c:v>11-09-2025</c:v>
                </c:pt>
                <c:pt idx="205">
                  <c:v>12-09-2025</c:v>
                </c:pt>
                <c:pt idx="206">
                  <c:v>15-09-2025</c:v>
                </c:pt>
                <c:pt idx="207">
                  <c:v>16-09-2025</c:v>
                </c:pt>
                <c:pt idx="208">
                  <c:v>18-09-2025</c:v>
                </c:pt>
                <c:pt idx="209">
                  <c:v>20-09-2025</c:v>
                </c:pt>
                <c:pt idx="210">
                  <c:v>22-09-2025</c:v>
                </c:pt>
                <c:pt idx="211">
                  <c:v>28-09-2025</c:v>
                </c:pt>
                <c:pt idx="212">
                  <c:v>30-09-2025</c:v>
                </c:pt>
                <c:pt idx="213">
                  <c:v>02-10-2025</c:v>
                </c:pt>
                <c:pt idx="214">
                  <c:v>04-10-2025</c:v>
                </c:pt>
                <c:pt idx="215">
                  <c:v>05-10-2025</c:v>
                </c:pt>
                <c:pt idx="216">
                  <c:v>06-10-2025</c:v>
                </c:pt>
                <c:pt idx="217">
                  <c:v>07-10-2025</c:v>
                </c:pt>
                <c:pt idx="218">
                  <c:v>09-10-2025</c:v>
                </c:pt>
                <c:pt idx="219">
                  <c:v>10-10-2025</c:v>
                </c:pt>
                <c:pt idx="220">
                  <c:v>11-10-2025</c:v>
                </c:pt>
                <c:pt idx="221">
                  <c:v>12-10-2025</c:v>
                </c:pt>
                <c:pt idx="222">
                  <c:v>15-10-2025</c:v>
                </c:pt>
                <c:pt idx="223">
                  <c:v>16-10-2025</c:v>
                </c:pt>
                <c:pt idx="224">
                  <c:v>18-10-2025</c:v>
                </c:pt>
                <c:pt idx="225">
                  <c:v>20-10-2025</c:v>
                </c:pt>
                <c:pt idx="226">
                  <c:v>22-10-2025</c:v>
                </c:pt>
                <c:pt idx="227">
                  <c:v>30-10-2025</c:v>
                </c:pt>
                <c:pt idx="228">
                  <c:v>02-11-2025</c:v>
                </c:pt>
                <c:pt idx="229">
                  <c:v>04-11-2025</c:v>
                </c:pt>
                <c:pt idx="230">
                  <c:v>06-11-2025</c:v>
                </c:pt>
                <c:pt idx="231">
                  <c:v>07-11-2025</c:v>
                </c:pt>
                <c:pt idx="232">
                  <c:v>09-11-2025</c:v>
                </c:pt>
                <c:pt idx="233">
                  <c:v>10-11-2025</c:v>
                </c:pt>
                <c:pt idx="234">
                  <c:v>11-11-2025</c:v>
                </c:pt>
                <c:pt idx="235">
                  <c:v>12-11-2025</c:v>
                </c:pt>
                <c:pt idx="236">
                  <c:v>15-11-2025</c:v>
                </c:pt>
                <c:pt idx="237">
                  <c:v>16-11-2025</c:v>
                </c:pt>
                <c:pt idx="238">
                  <c:v>18-11-2025</c:v>
                </c:pt>
                <c:pt idx="239">
                  <c:v>20-11-2025</c:v>
                </c:pt>
                <c:pt idx="240">
                  <c:v>21-11-2025</c:v>
                </c:pt>
                <c:pt idx="241">
                  <c:v>22-11-2025</c:v>
                </c:pt>
                <c:pt idx="242">
                  <c:v>25-11-2025</c:v>
                </c:pt>
                <c:pt idx="243">
                  <c:v>30-11-2025</c:v>
                </c:pt>
              </c:strCache>
            </c:strRef>
          </c:cat>
          <c:val>
            <c:numRef>
              <c:f>Data!$S$2:$S$246</c:f>
              <c:numCache>
                <c:formatCode>0.00</c:formatCode>
                <c:ptCount val="244"/>
                <c:pt idx="0">
                  <c:v>9</c:v>
                </c:pt>
                <c:pt idx="1">
                  <c:v>7</c:v>
                </c:pt>
                <c:pt idx="2">
                  <c:v>0</c:v>
                </c:pt>
                <c:pt idx="3">
                  <c:v>0</c:v>
                </c:pt>
                <c:pt idx="4">
                  <c:v>10</c:v>
                </c:pt>
                <c:pt idx="5">
                  <c:v>0</c:v>
                </c:pt>
                <c:pt idx="6">
                  <c:v>5</c:v>
                </c:pt>
                <c:pt idx="7">
                  <c:v>10</c:v>
                </c:pt>
                <c:pt idx="8">
                  <c:v>7</c:v>
                </c:pt>
                <c:pt idx="9">
                  <c:v>1</c:v>
                </c:pt>
                <c:pt idx="10">
                  <c:v>7</c:v>
                </c:pt>
                <c:pt idx="11">
                  <c:v>10</c:v>
                </c:pt>
                <c:pt idx="12">
                  <c:v>7</c:v>
                </c:pt>
                <c:pt idx="13">
                  <c:v>5</c:v>
                </c:pt>
                <c:pt idx="14">
                  <c:v>7</c:v>
                </c:pt>
                <c:pt idx="15">
                  <c:v>8</c:v>
                </c:pt>
                <c:pt idx="16">
                  <c:v>10</c:v>
                </c:pt>
                <c:pt idx="17">
                  <c:v>0</c:v>
                </c:pt>
                <c:pt idx="18">
                  <c:v>1</c:v>
                </c:pt>
                <c:pt idx="19">
                  <c:v>7</c:v>
                </c:pt>
                <c:pt idx="20">
                  <c:v>8</c:v>
                </c:pt>
                <c:pt idx="21">
                  <c:v>2</c:v>
                </c:pt>
                <c:pt idx="22">
                  <c:v>4</c:v>
                </c:pt>
                <c:pt idx="23">
                  <c:v>0</c:v>
                </c:pt>
                <c:pt idx="24">
                  <c:v>2</c:v>
                </c:pt>
                <c:pt idx="25">
                  <c:v>1</c:v>
                </c:pt>
                <c:pt idx="26">
                  <c:v>9</c:v>
                </c:pt>
                <c:pt idx="27">
                  <c:v>1</c:v>
                </c:pt>
                <c:pt idx="28">
                  <c:v>2</c:v>
                </c:pt>
                <c:pt idx="29">
                  <c:v>1</c:v>
                </c:pt>
                <c:pt idx="30">
                  <c:v>6</c:v>
                </c:pt>
                <c:pt idx="31">
                  <c:v>0</c:v>
                </c:pt>
                <c:pt idx="32">
                  <c:v>8</c:v>
                </c:pt>
                <c:pt idx="33">
                  <c:v>9</c:v>
                </c:pt>
                <c:pt idx="34">
                  <c:v>0</c:v>
                </c:pt>
                <c:pt idx="35">
                  <c:v>6</c:v>
                </c:pt>
                <c:pt idx="36">
                  <c:v>3</c:v>
                </c:pt>
                <c:pt idx="37">
                  <c:v>4</c:v>
                </c:pt>
                <c:pt idx="38">
                  <c:v>1</c:v>
                </c:pt>
                <c:pt idx="39">
                  <c:v>7</c:v>
                </c:pt>
                <c:pt idx="40">
                  <c:v>7</c:v>
                </c:pt>
                <c:pt idx="41">
                  <c:v>4</c:v>
                </c:pt>
                <c:pt idx="42">
                  <c:v>10</c:v>
                </c:pt>
                <c:pt idx="43">
                  <c:v>8</c:v>
                </c:pt>
                <c:pt idx="44">
                  <c:v>8</c:v>
                </c:pt>
                <c:pt idx="45">
                  <c:v>0</c:v>
                </c:pt>
                <c:pt idx="46">
                  <c:v>2.5</c:v>
                </c:pt>
                <c:pt idx="47">
                  <c:v>0</c:v>
                </c:pt>
                <c:pt idx="48">
                  <c:v>10</c:v>
                </c:pt>
                <c:pt idx="49">
                  <c:v>0.5</c:v>
                </c:pt>
                <c:pt idx="50">
                  <c:v>2</c:v>
                </c:pt>
                <c:pt idx="51">
                  <c:v>4</c:v>
                </c:pt>
                <c:pt idx="52">
                  <c:v>5</c:v>
                </c:pt>
                <c:pt idx="53">
                  <c:v>0</c:v>
                </c:pt>
                <c:pt idx="54">
                  <c:v>0.5</c:v>
                </c:pt>
                <c:pt idx="55">
                  <c:v>5</c:v>
                </c:pt>
                <c:pt idx="56">
                  <c:v>1</c:v>
                </c:pt>
                <c:pt idx="57">
                  <c:v>10</c:v>
                </c:pt>
                <c:pt idx="58">
                  <c:v>1</c:v>
                </c:pt>
                <c:pt idx="59">
                  <c:v>6</c:v>
                </c:pt>
                <c:pt idx="60">
                  <c:v>2</c:v>
                </c:pt>
                <c:pt idx="61">
                  <c:v>4</c:v>
                </c:pt>
                <c:pt idx="62">
                  <c:v>5</c:v>
                </c:pt>
                <c:pt idx="63">
                  <c:v>5.5</c:v>
                </c:pt>
                <c:pt idx="64">
                  <c:v>2</c:v>
                </c:pt>
                <c:pt idx="65">
                  <c:v>7</c:v>
                </c:pt>
                <c:pt idx="66">
                  <c:v>7.5</c:v>
                </c:pt>
                <c:pt idx="67">
                  <c:v>5</c:v>
                </c:pt>
                <c:pt idx="68">
                  <c:v>9</c:v>
                </c:pt>
                <c:pt idx="69">
                  <c:v>0</c:v>
                </c:pt>
                <c:pt idx="70">
                  <c:v>9</c:v>
                </c:pt>
                <c:pt idx="71">
                  <c:v>3</c:v>
                </c:pt>
                <c:pt idx="72">
                  <c:v>2</c:v>
                </c:pt>
                <c:pt idx="73">
                  <c:v>0</c:v>
                </c:pt>
                <c:pt idx="74">
                  <c:v>8.5</c:v>
                </c:pt>
                <c:pt idx="75">
                  <c:v>4</c:v>
                </c:pt>
                <c:pt idx="76">
                  <c:v>7</c:v>
                </c:pt>
                <c:pt idx="77">
                  <c:v>7</c:v>
                </c:pt>
                <c:pt idx="78">
                  <c:v>0</c:v>
                </c:pt>
                <c:pt idx="79">
                  <c:v>10</c:v>
                </c:pt>
                <c:pt idx="80">
                  <c:v>2</c:v>
                </c:pt>
                <c:pt idx="81">
                  <c:v>7</c:v>
                </c:pt>
                <c:pt idx="82">
                  <c:v>2</c:v>
                </c:pt>
                <c:pt idx="83">
                  <c:v>2</c:v>
                </c:pt>
                <c:pt idx="84">
                  <c:v>6</c:v>
                </c:pt>
                <c:pt idx="85">
                  <c:v>0</c:v>
                </c:pt>
                <c:pt idx="86">
                  <c:v>3</c:v>
                </c:pt>
                <c:pt idx="87">
                  <c:v>0</c:v>
                </c:pt>
                <c:pt idx="88">
                  <c:v>4</c:v>
                </c:pt>
                <c:pt idx="89">
                  <c:v>9</c:v>
                </c:pt>
                <c:pt idx="90">
                  <c:v>2</c:v>
                </c:pt>
                <c:pt idx="91">
                  <c:v>6</c:v>
                </c:pt>
                <c:pt idx="92">
                  <c:v>0</c:v>
                </c:pt>
                <c:pt idx="93">
                  <c:v>6</c:v>
                </c:pt>
                <c:pt idx="94">
                  <c:v>1</c:v>
                </c:pt>
                <c:pt idx="95">
                  <c:v>5.5</c:v>
                </c:pt>
                <c:pt idx="96">
                  <c:v>8</c:v>
                </c:pt>
                <c:pt idx="97">
                  <c:v>0</c:v>
                </c:pt>
                <c:pt idx="98">
                  <c:v>9</c:v>
                </c:pt>
                <c:pt idx="99">
                  <c:v>4</c:v>
                </c:pt>
                <c:pt idx="100">
                  <c:v>0</c:v>
                </c:pt>
                <c:pt idx="101">
                  <c:v>2</c:v>
                </c:pt>
                <c:pt idx="102">
                  <c:v>10</c:v>
                </c:pt>
                <c:pt idx="103">
                  <c:v>8</c:v>
                </c:pt>
                <c:pt idx="104">
                  <c:v>9</c:v>
                </c:pt>
                <c:pt idx="105">
                  <c:v>8</c:v>
                </c:pt>
                <c:pt idx="106">
                  <c:v>4</c:v>
                </c:pt>
                <c:pt idx="107">
                  <c:v>3</c:v>
                </c:pt>
                <c:pt idx="108">
                  <c:v>3.5</c:v>
                </c:pt>
                <c:pt idx="109">
                  <c:v>2.6666666666666665</c:v>
                </c:pt>
                <c:pt idx="110">
                  <c:v>4</c:v>
                </c:pt>
                <c:pt idx="111">
                  <c:v>7</c:v>
                </c:pt>
                <c:pt idx="112">
                  <c:v>3.75</c:v>
                </c:pt>
                <c:pt idx="113">
                  <c:v>6.5</c:v>
                </c:pt>
                <c:pt idx="114">
                  <c:v>7.5</c:v>
                </c:pt>
                <c:pt idx="115">
                  <c:v>4</c:v>
                </c:pt>
                <c:pt idx="116">
                  <c:v>3</c:v>
                </c:pt>
                <c:pt idx="117">
                  <c:v>6.5</c:v>
                </c:pt>
                <c:pt idx="118">
                  <c:v>5.666666666666667</c:v>
                </c:pt>
                <c:pt idx="119">
                  <c:v>5</c:v>
                </c:pt>
                <c:pt idx="120">
                  <c:v>0</c:v>
                </c:pt>
                <c:pt idx="121">
                  <c:v>0</c:v>
                </c:pt>
                <c:pt idx="122">
                  <c:v>1</c:v>
                </c:pt>
                <c:pt idx="123">
                  <c:v>6</c:v>
                </c:pt>
                <c:pt idx="124">
                  <c:v>7</c:v>
                </c:pt>
                <c:pt idx="125">
                  <c:v>9</c:v>
                </c:pt>
                <c:pt idx="126">
                  <c:v>4</c:v>
                </c:pt>
                <c:pt idx="127">
                  <c:v>7</c:v>
                </c:pt>
                <c:pt idx="128">
                  <c:v>2</c:v>
                </c:pt>
                <c:pt idx="129">
                  <c:v>6</c:v>
                </c:pt>
                <c:pt idx="130">
                  <c:v>7</c:v>
                </c:pt>
                <c:pt idx="131">
                  <c:v>6</c:v>
                </c:pt>
                <c:pt idx="132">
                  <c:v>0</c:v>
                </c:pt>
                <c:pt idx="133">
                  <c:v>7</c:v>
                </c:pt>
                <c:pt idx="134">
                  <c:v>7</c:v>
                </c:pt>
                <c:pt idx="135">
                  <c:v>10</c:v>
                </c:pt>
                <c:pt idx="136">
                  <c:v>1</c:v>
                </c:pt>
                <c:pt idx="137">
                  <c:v>8</c:v>
                </c:pt>
                <c:pt idx="138">
                  <c:v>5</c:v>
                </c:pt>
                <c:pt idx="139">
                  <c:v>3</c:v>
                </c:pt>
                <c:pt idx="140">
                  <c:v>1</c:v>
                </c:pt>
                <c:pt idx="141">
                  <c:v>4</c:v>
                </c:pt>
                <c:pt idx="142">
                  <c:v>10</c:v>
                </c:pt>
                <c:pt idx="143">
                  <c:v>0</c:v>
                </c:pt>
                <c:pt idx="144">
                  <c:v>0</c:v>
                </c:pt>
                <c:pt idx="145">
                  <c:v>1</c:v>
                </c:pt>
                <c:pt idx="146">
                  <c:v>2</c:v>
                </c:pt>
                <c:pt idx="147">
                  <c:v>8</c:v>
                </c:pt>
                <c:pt idx="148">
                  <c:v>4</c:v>
                </c:pt>
                <c:pt idx="149">
                  <c:v>7</c:v>
                </c:pt>
                <c:pt idx="150">
                  <c:v>5</c:v>
                </c:pt>
                <c:pt idx="151">
                  <c:v>9</c:v>
                </c:pt>
                <c:pt idx="152">
                  <c:v>6</c:v>
                </c:pt>
                <c:pt idx="153">
                  <c:v>10</c:v>
                </c:pt>
                <c:pt idx="154">
                  <c:v>7</c:v>
                </c:pt>
                <c:pt idx="155">
                  <c:v>7</c:v>
                </c:pt>
                <c:pt idx="156">
                  <c:v>5</c:v>
                </c:pt>
                <c:pt idx="157">
                  <c:v>4.5</c:v>
                </c:pt>
                <c:pt idx="158">
                  <c:v>1</c:v>
                </c:pt>
                <c:pt idx="159">
                  <c:v>1</c:v>
                </c:pt>
                <c:pt idx="160">
                  <c:v>0</c:v>
                </c:pt>
                <c:pt idx="161">
                  <c:v>5</c:v>
                </c:pt>
                <c:pt idx="162">
                  <c:v>9</c:v>
                </c:pt>
                <c:pt idx="163">
                  <c:v>10</c:v>
                </c:pt>
                <c:pt idx="164">
                  <c:v>0</c:v>
                </c:pt>
                <c:pt idx="165">
                  <c:v>5.5</c:v>
                </c:pt>
                <c:pt idx="166">
                  <c:v>7</c:v>
                </c:pt>
                <c:pt idx="167">
                  <c:v>6</c:v>
                </c:pt>
                <c:pt idx="168">
                  <c:v>10</c:v>
                </c:pt>
                <c:pt idx="169">
                  <c:v>6</c:v>
                </c:pt>
                <c:pt idx="170">
                  <c:v>8</c:v>
                </c:pt>
                <c:pt idx="171">
                  <c:v>0</c:v>
                </c:pt>
                <c:pt idx="172">
                  <c:v>0</c:v>
                </c:pt>
                <c:pt idx="173">
                  <c:v>7</c:v>
                </c:pt>
                <c:pt idx="174">
                  <c:v>10</c:v>
                </c:pt>
                <c:pt idx="175">
                  <c:v>1</c:v>
                </c:pt>
                <c:pt idx="176">
                  <c:v>3</c:v>
                </c:pt>
                <c:pt idx="177">
                  <c:v>0</c:v>
                </c:pt>
                <c:pt idx="178">
                  <c:v>4</c:v>
                </c:pt>
                <c:pt idx="179">
                  <c:v>4</c:v>
                </c:pt>
                <c:pt idx="180">
                  <c:v>9</c:v>
                </c:pt>
                <c:pt idx="181">
                  <c:v>6</c:v>
                </c:pt>
                <c:pt idx="182">
                  <c:v>4</c:v>
                </c:pt>
                <c:pt idx="183">
                  <c:v>1</c:v>
                </c:pt>
                <c:pt idx="184">
                  <c:v>10</c:v>
                </c:pt>
                <c:pt idx="185">
                  <c:v>4</c:v>
                </c:pt>
                <c:pt idx="186">
                  <c:v>2</c:v>
                </c:pt>
                <c:pt idx="187">
                  <c:v>9</c:v>
                </c:pt>
                <c:pt idx="188">
                  <c:v>10</c:v>
                </c:pt>
                <c:pt idx="189">
                  <c:v>6</c:v>
                </c:pt>
                <c:pt idx="190">
                  <c:v>0</c:v>
                </c:pt>
                <c:pt idx="191">
                  <c:v>0</c:v>
                </c:pt>
                <c:pt idx="192">
                  <c:v>1</c:v>
                </c:pt>
                <c:pt idx="193">
                  <c:v>7</c:v>
                </c:pt>
                <c:pt idx="194">
                  <c:v>3</c:v>
                </c:pt>
                <c:pt idx="195">
                  <c:v>3</c:v>
                </c:pt>
                <c:pt idx="196">
                  <c:v>7</c:v>
                </c:pt>
                <c:pt idx="197">
                  <c:v>6</c:v>
                </c:pt>
                <c:pt idx="198">
                  <c:v>1</c:v>
                </c:pt>
                <c:pt idx="199">
                  <c:v>5</c:v>
                </c:pt>
                <c:pt idx="200">
                  <c:v>3</c:v>
                </c:pt>
                <c:pt idx="201">
                  <c:v>7</c:v>
                </c:pt>
                <c:pt idx="202">
                  <c:v>4</c:v>
                </c:pt>
                <c:pt idx="203">
                  <c:v>3</c:v>
                </c:pt>
                <c:pt idx="204">
                  <c:v>5</c:v>
                </c:pt>
                <c:pt idx="205">
                  <c:v>7.5</c:v>
                </c:pt>
                <c:pt idx="206">
                  <c:v>6</c:v>
                </c:pt>
                <c:pt idx="207">
                  <c:v>10</c:v>
                </c:pt>
                <c:pt idx="208">
                  <c:v>5</c:v>
                </c:pt>
                <c:pt idx="209">
                  <c:v>2</c:v>
                </c:pt>
                <c:pt idx="210">
                  <c:v>2</c:v>
                </c:pt>
                <c:pt idx="211">
                  <c:v>8</c:v>
                </c:pt>
                <c:pt idx="212">
                  <c:v>2</c:v>
                </c:pt>
                <c:pt idx="213">
                  <c:v>4</c:v>
                </c:pt>
                <c:pt idx="214">
                  <c:v>4</c:v>
                </c:pt>
                <c:pt idx="215">
                  <c:v>8</c:v>
                </c:pt>
                <c:pt idx="216">
                  <c:v>7</c:v>
                </c:pt>
                <c:pt idx="217">
                  <c:v>9</c:v>
                </c:pt>
                <c:pt idx="218">
                  <c:v>9</c:v>
                </c:pt>
                <c:pt idx="219">
                  <c:v>4</c:v>
                </c:pt>
                <c:pt idx="220">
                  <c:v>0</c:v>
                </c:pt>
                <c:pt idx="221">
                  <c:v>6</c:v>
                </c:pt>
                <c:pt idx="222">
                  <c:v>5</c:v>
                </c:pt>
                <c:pt idx="223">
                  <c:v>10</c:v>
                </c:pt>
                <c:pt idx="224">
                  <c:v>1</c:v>
                </c:pt>
                <c:pt idx="225">
                  <c:v>7</c:v>
                </c:pt>
                <c:pt idx="226">
                  <c:v>5</c:v>
                </c:pt>
                <c:pt idx="227">
                  <c:v>9</c:v>
                </c:pt>
                <c:pt idx="228">
                  <c:v>6.5</c:v>
                </c:pt>
                <c:pt idx="229">
                  <c:v>4</c:v>
                </c:pt>
                <c:pt idx="230">
                  <c:v>0.5</c:v>
                </c:pt>
                <c:pt idx="231">
                  <c:v>4</c:v>
                </c:pt>
                <c:pt idx="232">
                  <c:v>3.6666666666666665</c:v>
                </c:pt>
                <c:pt idx="233">
                  <c:v>9</c:v>
                </c:pt>
                <c:pt idx="234">
                  <c:v>2.5</c:v>
                </c:pt>
                <c:pt idx="235">
                  <c:v>3</c:v>
                </c:pt>
                <c:pt idx="236">
                  <c:v>7.25</c:v>
                </c:pt>
                <c:pt idx="237">
                  <c:v>4.666666666666667</c:v>
                </c:pt>
                <c:pt idx="238">
                  <c:v>4</c:v>
                </c:pt>
                <c:pt idx="239">
                  <c:v>3</c:v>
                </c:pt>
                <c:pt idx="240">
                  <c:v>6</c:v>
                </c:pt>
                <c:pt idx="241">
                  <c:v>7</c:v>
                </c:pt>
                <c:pt idx="242">
                  <c:v>5</c:v>
                </c:pt>
                <c:pt idx="243">
                  <c:v>1.3333333333333333</c:v>
                </c:pt>
              </c:numCache>
            </c:numRef>
          </c:val>
          <c:extLst>
            <c:ext xmlns:c16="http://schemas.microsoft.com/office/drawing/2014/chart" uri="{C3380CC4-5D6E-409C-BE32-E72D297353CC}">
              <c16:uniqueId val="{00000001-0CAA-4C66-AD7D-6A36E42F1177}"/>
            </c:ext>
          </c:extLst>
        </c:ser>
        <c:dLbls>
          <c:showLegendKey val="0"/>
          <c:showVal val="0"/>
          <c:showCatName val="0"/>
          <c:showSerName val="0"/>
          <c:showPercent val="0"/>
          <c:showBubbleSize val="0"/>
        </c:dLbls>
        <c:axId val="1003017599"/>
        <c:axId val="1003016159"/>
      </c:areaChart>
      <c:catAx>
        <c:axId val="1003017599"/>
        <c:scaling>
          <c:orientation val="minMax"/>
        </c:scaling>
        <c:delete val="1"/>
        <c:axPos val="b"/>
        <c:numFmt formatCode="General" sourceLinked="1"/>
        <c:majorTickMark val="out"/>
        <c:minorTickMark val="none"/>
        <c:tickLblPos val="nextTo"/>
        <c:crossAx val="1003016159"/>
        <c:crosses val="autoZero"/>
        <c:auto val="1"/>
        <c:lblAlgn val="ctr"/>
        <c:lblOffset val="100"/>
        <c:noMultiLvlLbl val="0"/>
      </c:catAx>
      <c:valAx>
        <c:axId val="1003016159"/>
        <c:scaling>
          <c:orientation val="minMax"/>
        </c:scaling>
        <c:delete val="1"/>
        <c:axPos val="l"/>
        <c:numFmt formatCode="0.00" sourceLinked="1"/>
        <c:majorTickMark val="none"/>
        <c:minorTickMark val="none"/>
        <c:tickLblPos val="nextTo"/>
        <c:crossAx val="10030175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Dashboard.xlsx]Data!PivotTable9</c:name>
    <c:fmtId val="3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solidFill>
              <a:schemeClr val="accent6">
                <a:lumMod val="40000"/>
                <a:lumOff val="60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6">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8.1560842128776456E-2"/>
          <c:w val="0.98495793866147296"/>
          <c:h val="0.7762288490534428"/>
        </c:manualLayout>
      </c:layout>
      <c:barChart>
        <c:barDir val="col"/>
        <c:grouping val="clustered"/>
        <c:varyColors val="0"/>
        <c:ser>
          <c:idx val="0"/>
          <c:order val="0"/>
          <c:tx>
            <c:strRef>
              <c:f>Data!$B$29</c:f>
              <c:strCache>
                <c:ptCount val="1"/>
                <c:pt idx="0">
                  <c:v>Total</c:v>
                </c:pt>
              </c:strCache>
            </c:strRef>
          </c:tx>
          <c:spPr>
            <a:solidFill>
              <a:schemeClr val="accent6">
                <a:lumMod val="40000"/>
                <a:lumOff val="60000"/>
              </a:schemeClr>
            </a:solidFill>
            <a:ln>
              <a:solidFill>
                <a:schemeClr val="accent6">
                  <a:lumMod val="40000"/>
                  <a:lumOff val="60000"/>
                </a:schemeClr>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6">
                        <a:lumMod val="20000"/>
                        <a:lumOff val="8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Data!$A$30:$A$36</c:f>
              <c:strCache>
                <c:ptCount val="6"/>
                <c:pt idx="0">
                  <c:v>0-12</c:v>
                </c:pt>
                <c:pt idx="1">
                  <c:v>13-25</c:v>
                </c:pt>
                <c:pt idx="2">
                  <c:v>26-40</c:v>
                </c:pt>
                <c:pt idx="3">
                  <c:v>41-65</c:v>
                </c:pt>
                <c:pt idx="4">
                  <c:v>66-85</c:v>
                </c:pt>
                <c:pt idx="5">
                  <c:v>85+</c:v>
                </c:pt>
              </c:strCache>
            </c:strRef>
          </c:cat>
          <c:val>
            <c:numRef>
              <c:f>Data!$B$30:$B$36</c:f>
              <c:numCache>
                <c:formatCode>0.00</c:formatCode>
                <c:ptCount val="6"/>
                <c:pt idx="0">
                  <c:v>30</c:v>
                </c:pt>
                <c:pt idx="1">
                  <c:v>50</c:v>
                </c:pt>
                <c:pt idx="2">
                  <c:v>53</c:v>
                </c:pt>
                <c:pt idx="3">
                  <c:v>70</c:v>
                </c:pt>
                <c:pt idx="4">
                  <c:v>73</c:v>
                </c:pt>
                <c:pt idx="5">
                  <c:v>24</c:v>
                </c:pt>
              </c:numCache>
            </c:numRef>
          </c:val>
          <c:extLst>
            <c:ext xmlns:c16="http://schemas.microsoft.com/office/drawing/2014/chart" uri="{C3380CC4-5D6E-409C-BE32-E72D297353CC}">
              <c16:uniqueId val="{00000000-69B5-4CCF-8EA8-8453860FCC9D}"/>
            </c:ext>
          </c:extLst>
        </c:ser>
        <c:dLbls>
          <c:showLegendKey val="0"/>
          <c:showVal val="0"/>
          <c:showCatName val="0"/>
          <c:showSerName val="0"/>
          <c:showPercent val="0"/>
          <c:showBubbleSize val="0"/>
        </c:dLbls>
        <c:gapWidth val="100"/>
        <c:overlap val="-24"/>
        <c:axId val="1967895200"/>
        <c:axId val="1967899040"/>
      </c:barChart>
      <c:catAx>
        <c:axId val="196789520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accent6">
                    <a:lumMod val="20000"/>
                    <a:lumOff val="80000"/>
                  </a:schemeClr>
                </a:solidFill>
                <a:latin typeface="+mn-lt"/>
                <a:ea typeface="+mn-ea"/>
                <a:cs typeface="+mn-cs"/>
              </a:defRPr>
            </a:pPr>
            <a:endParaRPr lang="en-US"/>
          </a:p>
        </c:txPr>
        <c:crossAx val="1967899040"/>
        <c:crosses val="autoZero"/>
        <c:auto val="1"/>
        <c:lblAlgn val="ctr"/>
        <c:lblOffset val="100"/>
        <c:noMultiLvlLbl val="0"/>
      </c:catAx>
      <c:valAx>
        <c:axId val="1967899040"/>
        <c:scaling>
          <c:orientation val="minMax"/>
        </c:scaling>
        <c:delete val="1"/>
        <c:axPos val="l"/>
        <c:numFmt formatCode="0.00" sourceLinked="1"/>
        <c:majorTickMark val="out"/>
        <c:minorTickMark val="none"/>
        <c:tickLblPos val="nextTo"/>
        <c:crossAx val="1967895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Dashboard.xlsx]Data!PivotTable11</c:name>
    <c:fmtId val="46"/>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ptos" panose="020B00040202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6">
              <a:lumMod val="40000"/>
              <a:lumOff val="60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ptos" panose="020B00040202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40000"/>
              <a:lumOff val="60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6">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6">
              <a:lumMod val="50000"/>
            </a:schemeClr>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ptos" panose="020B00040202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40000"/>
              <a:lumOff val="60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6">
              <a:lumMod val="50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6048381452318459"/>
          <c:y val="0.15046296296296297"/>
          <c:w val="0.46388888888888891"/>
          <c:h val="0.77314814814814814"/>
        </c:manualLayout>
      </c:layout>
      <c:pieChart>
        <c:varyColors val="1"/>
        <c:ser>
          <c:idx val="0"/>
          <c:order val="0"/>
          <c:tx>
            <c:strRef>
              <c:f>Data!$E$29</c:f>
              <c:strCache>
                <c:ptCount val="1"/>
                <c:pt idx="0">
                  <c:v>Total</c:v>
                </c:pt>
              </c:strCache>
            </c:strRef>
          </c:tx>
          <c:spPr>
            <a:solidFill>
              <a:schemeClr val="accent6">
                <a:lumMod val="50000"/>
              </a:schemeClr>
            </a:solidFill>
          </c:spPr>
          <c:dPt>
            <c:idx val="0"/>
            <c:bubble3D val="0"/>
            <c:spPr>
              <a:solidFill>
                <a:schemeClr val="accent6">
                  <a:lumMod val="40000"/>
                  <a:lumOff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BD0-4266-84B2-33E70C0DA2DC}"/>
              </c:ext>
            </c:extLst>
          </c:dPt>
          <c:dPt>
            <c:idx val="1"/>
            <c:bubble3D val="0"/>
            <c:spPr>
              <a:solidFill>
                <a:schemeClr val="accent6">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BD0-4266-84B2-33E70C0DA2DC}"/>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ptos" panose="020B000402020202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Data!$D$30:$D$32</c:f>
              <c:strCache>
                <c:ptCount val="2"/>
                <c:pt idx="0">
                  <c:v>Delay</c:v>
                </c:pt>
                <c:pt idx="1">
                  <c:v>On-Time</c:v>
                </c:pt>
              </c:strCache>
            </c:strRef>
          </c:cat>
          <c:val>
            <c:numRef>
              <c:f>Data!$E$30:$E$32</c:f>
              <c:numCache>
                <c:formatCode>0%</c:formatCode>
                <c:ptCount val="2"/>
                <c:pt idx="0">
                  <c:v>0.56000000000000005</c:v>
                </c:pt>
                <c:pt idx="1">
                  <c:v>0.44</c:v>
                </c:pt>
              </c:numCache>
            </c:numRef>
          </c:val>
          <c:extLst>
            <c:ext xmlns:c16="http://schemas.microsoft.com/office/drawing/2014/chart" uri="{C3380CC4-5D6E-409C-BE32-E72D297353CC}">
              <c16:uniqueId val="{00000004-4BD0-4266-84B2-33E70C0DA2D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26609511925763379"/>
          <c:y val="5.7845422953415736E-4"/>
          <c:w val="0.46553325301550419"/>
          <c:h val="0.1562510936132983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accent6">
                  <a:lumMod val="40000"/>
                  <a:lumOff val="60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Dashboard.xlsx]Data!PivotTable12</c:name>
    <c:fmtId val="51"/>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lumMod val="40000"/>
              <a:lumOff val="60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6">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6">
              <a:lumMod val="40000"/>
              <a:lumOff val="60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6">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lumMod val="40000"/>
              <a:lumOff val="60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6">
              <a:lumMod val="50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5321992769771703"/>
          <c:y val="0.16538729760229245"/>
          <c:w val="0.72416877135641067"/>
          <c:h val="0.74994230793614569"/>
        </c:manualLayout>
      </c:layout>
      <c:doughnutChart>
        <c:varyColors val="1"/>
        <c:ser>
          <c:idx val="0"/>
          <c:order val="0"/>
          <c:tx>
            <c:strRef>
              <c:f>Data!$E$34</c:f>
              <c:strCache>
                <c:ptCount val="1"/>
                <c:pt idx="0">
                  <c:v>Total</c:v>
                </c:pt>
              </c:strCache>
            </c:strRef>
          </c:tx>
          <c:dPt>
            <c:idx val="0"/>
            <c:bubble3D val="0"/>
            <c:spPr>
              <a:solidFill>
                <a:schemeClr val="accent6">
                  <a:lumMod val="40000"/>
                  <a:lumOff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5F2-48F1-BCA8-2ABF81BA2292}"/>
              </c:ext>
            </c:extLst>
          </c:dPt>
          <c:dPt>
            <c:idx val="1"/>
            <c:bubble3D val="0"/>
            <c:spPr>
              <a:solidFill>
                <a:schemeClr val="accent6">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5F2-48F1-BCA8-2ABF81BA229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Data!$D$35:$D$37</c:f>
              <c:strCache>
                <c:ptCount val="2"/>
                <c:pt idx="0">
                  <c:v>Female</c:v>
                </c:pt>
                <c:pt idx="1">
                  <c:v>Male</c:v>
                </c:pt>
              </c:strCache>
            </c:strRef>
          </c:cat>
          <c:val>
            <c:numRef>
              <c:f>Data!$E$35:$E$37</c:f>
              <c:numCache>
                <c:formatCode>General</c:formatCode>
                <c:ptCount val="2"/>
                <c:pt idx="0">
                  <c:v>122</c:v>
                </c:pt>
                <c:pt idx="1">
                  <c:v>178</c:v>
                </c:pt>
              </c:numCache>
            </c:numRef>
          </c:val>
          <c:extLst>
            <c:ext xmlns:c16="http://schemas.microsoft.com/office/drawing/2014/chart" uri="{C3380CC4-5D6E-409C-BE32-E72D297353CC}">
              <c16:uniqueId val="{00000004-75F2-48F1-BCA8-2ABF81BA229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2.6616558961120088E-2"/>
          <c:y val="5.7815689705455859E-4"/>
          <c:w val="0.97338344103887997"/>
          <c:h val="0.15625109361329834"/>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accent6">
                  <a:lumMod val="40000"/>
                  <a:lumOff val="60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Dashboard.xlsx]Data!PivotTable13</c:name>
    <c:fmtId val="58"/>
  </c:pivotSource>
  <c:chart>
    <c:autoTitleDeleted val="1"/>
    <c:pivotFmts>
      <c:pivotFmt>
        <c:idx val="0"/>
        <c:spPr>
          <a:solidFill>
            <a:schemeClr val="accent6">
              <a:lumMod val="40000"/>
              <a:lumOff val="60000"/>
            </a:schemeClr>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40000"/>
              <a:lumOff val="6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24555771991916"/>
          <c:y val="4.3650793650793648E-2"/>
          <c:w val="0.75209242137415755"/>
          <c:h val="0.88016560429946256"/>
        </c:manualLayout>
      </c:layout>
      <c:barChart>
        <c:barDir val="bar"/>
        <c:grouping val="clustered"/>
        <c:varyColors val="0"/>
        <c:ser>
          <c:idx val="0"/>
          <c:order val="0"/>
          <c:tx>
            <c:strRef>
              <c:f>Data!$J$18</c:f>
              <c:strCache>
                <c:ptCount val="1"/>
                <c:pt idx="0">
                  <c:v>Total</c:v>
                </c:pt>
              </c:strCache>
            </c:strRef>
          </c:tx>
          <c:spPr>
            <a:solidFill>
              <a:schemeClr val="accent6">
                <a:lumMod val="40000"/>
                <a:lumOff val="60000"/>
              </a:schemeClr>
            </a:solidFill>
            <a:ln>
              <a:noFill/>
            </a:ln>
            <a:effectLst>
              <a:outerShdw blurRad="57150" dist="19050" dir="5400000" algn="ctr" rotWithShape="0">
                <a:srgbClr val="000000">
                  <a:alpha val="63000"/>
                </a:srgbClr>
              </a:outerShdw>
            </a:effectLst>
          </c:spPr>
          <c:invertIfNegative val="0"/>
          <c:cat>
            <c:strRef>
              <c:f>Data!$I$19:$I$34</c:f>
              <c:strCache>
                <c:ptCount val="15"/>
                <c:pt idx="0">
                  <c:v>Gynecology</c:v>
                </c:pt>
                <c:pt idx="1">
                  <c:v>Urology</c:v>
                </c:pt>
                <c:pt idx="2">
                  <c:v>Oncology</c:v>
                </c:pt>
                <c:pt idx="3">
                  <c:v>Pulmonology</c:v>
                </c:pt>
                <c:pt idx="4">
                  <c:v>General Medicine</c:v>
                </c:pt>
                <c:pt idx="5">
                  <c:v>Dermatology</c:v>
                </c:pt>
                <c:pt idx="6">
                  <c:v>Neurology</c:v>
                </c:pt>
                <c:pt idx="7">
                  <c:v>Psychiatry</c:v>
                </c:pt>
                <c:pt idx="8">
                  <c:v>Emergency</c:v>
                </c:pt>
                <c:pt idx="9">
                  <c:v>Orthopedics</c:v>
                </c:pt>
                <c:pt idx="10">
                  <c:v>Cardiology</c:v>
                </c:pt>
                <c:pt idx="11">
                  <c:v>ENT</c:v>
                </c:pt>
                <c:pt idx="12">
                  <c:v>Pediatrics</c:v>
                </c:pt>
                <c:pt idx="13">
                  <c:v>Nephrology</c:v>
                </c:pt>
                <c:pt idx="14">
                  <c:v>Self</c:v>
                </c:pt>
              </c:strCache>
            </c:strRef>
          </c:cat>
          <c:val>
            <c:numRef>
              <c:f>Data!$J$19:$J$34</c:f>
              <c:numCache>
                <c:formatCode>General</c:formatCode>
                <c:ptCount val="15"/>
                <c:pt idx="0">
                  <c:v>10</c:v>
                </c:pt>
                <c:pt idx="1">
                  <c:v>13</c:v>
                </c:pt>
                <c:pt idx="2">
                  <c:v>14</c:v>
                </c:pt>
                <c:pt idx="3">
                  <c:v>16</c:v>
                </c:pt>
                <c:pt idx="4">
                  <c:v>18</c:v>
                </c:pt>
                <c:pt idx="5">
                  <c:v>18</c:v>
                </c:pt>
                <c:pt idx="6">
                  <c:v>19</c:v>
                </c:pt>
                <c:pt idx="7">
                  <c:v>19</c:v>
                </c:pt>
                <c:pt idx="8">
                  <c:v>20</c:v>
                </c:pt>
                <c:pt idx="9">
                  <c:v>21</c:v>
                </c:pt>
                <c:pt idx="10">
                  <c:v>21</c:v>
                </c:pt>
                <c:pt idx="11">
                  <c:v>21</c:v>
                </c:pt>
                <c:pt idx="12">
                  <c:v>24</c:v>
                </c:pt>
                <c:pt idx="13">
                  <c:v>25</c:v>
                </c:pt>
                <c:pt idx="14">
                  <c:v>41</c:v>
                </c:pt>
              </c:numCache>
            </c:numRef>
          </c:val>
          <c:extLst>
            <c:ext xmlns:c16="http://schemas.microsoft.com/office/drawing/2014/chart" uri="{C3380CC4-5D6E-409C-BE32-E72D297353CC}">
              <c16:uniqueId val="{00000000-8EF1-4B72-8877-2C82AE9A27BD}"/>
            </c:ext>
          </c:extLst>
        </c:ser>
        <c:dLbls>
          <c:showLegendKey val="0"/>
          <c:showVal val="0"/>
          <c:showCatName val="0"/>
          <c:showSerName val="0"/>
          <c:showPercent val="0"/>
          <c:showBubbleSize val="0"/>
        </c:dLbls>
        <c:gapWidth val="115"/>
        <c:overlap val="-20"/>
        <c:axId val="1191465231"/>
        <c:axId val="1191465711"/>
      </c:barChart>
      <c:catAx>
        <c:axId val="119146523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40000"/>
                    <a:lumOff val="60000"/>
                  </a:schemeClr>
                </a:solidFill>
                <a:latin typeface="Aptos" panose="020B0004020202020204" pitchFamily="34" charset="0"/>
                <a:ea typeface="+mn-ea"/>
                <a:cs typeface="+mn-cs"/>
              </a:defRPr>
            </a:pPr>
            <a:endParaRPr lang="en-US"/>
          </a:p>
        </c:txPr>
        <c:crossAx val="1191465711"/>
        <c:crosses val="autoZero"/>
        <c:auto val="1"/>
        <c:lblAlgn val="ctr"/>
        <c:lblOffset val="100"/>
        <c:noMultiLvlLbl val="0"/>
      </c:catAx>
      <c:valAx>
        <c:axId val="1191465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40000"/>
                    <a:lumOff val="60000"/>
                  </a:schemeClr>
                </a:solidFill>
                <a:latin typeface="Aptos" panose="020B0004020202020204" pitchFamily="34" charset="0"/>
                <a:ea typeface="+mn-ea"/>
                <a:cs typeface="+mn-cs"/>
              </a:defRPr>
            </a:pPr>
            <a:endParaRPr lang="en-US"/>
          </a:p>
        </c:txPr>
        <c:crossAx val="1191465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4.xml"/><Relationship Id="rId2" Type="http://schemas.openxmlformats.org/officeDocument/2006/relationships/hyperlink" Target="#Dashboard!A1"/><Relationship Id="rId1" Type="http://schemas.openxmlformats.org/officeDocument/2006/relationships/chart" Target="../charts/chart1.xml"/><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image" Target="../media/image2.svg"/></Relationships>
</file>

<file path=xl/drawings/_rels/drawing2.xml.rels><?xml version="1.0" encoding="UTF-8" standalone="yes"?>
<Relationships xmlns="http://schemas.openxmlformats.org/package/2006/relationships"><Relationship Id="rId8" Type="http://schemas.openxmlformats.org/officeDocument/2006/relationships/image" Target="../media/image10.svg"/><Relationship Id="rId13" Type="http://schemas.openxmlformats.org/officeDocument/2006/relationships/hyperlink" Target="#Data!D13"/><Relationship Id="rId18" Type="http://schemas.openxmlformats.org/officeDocument/2006/relationships/chart" Target="../charts/chart10.xml"/><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chart" Target="../charts/chart6.xml"/><Relationship Id="rId17" Type="http://schemas.openxmlformats.org/officeDocument/2006/relationships/chart" Target="../charts/chart9.xml"/><Relationship Id="rId2" Type="http://schemas.openxmlformats.org/officeDocument/2006/relationships/image" Target="../media/image4.svg"/><Relationship Id="rId16" Type="http://schemas.openxmlformats.org/officeDocument/2006/relationships/chart" Target="../charts/chart8.xml"/><Relationship Id="rId1" Type="http://schemas.openxmlformats.org/officeDocument/2006/relationships/image" Target="../media/image3.png"/><Relationship Id="rId6" Type="http://schemas.openxmlformats.org/officeDocument/2006/relationships/image" Target="../media/image8.svg"/><Relationship Id="rId11" Type="http://schemas.openxmlformats.org/officeDocument/2006/relationships/hyperlink" Target="#Data!H1"/><Relationship Id="rId5" Type="http://schemas.openxmlformats.org/officeDocument/2006/relationships/image" Target="../media/image7.png"/><Relationship Id="rId15" Type="http://schemas.openxmlformats.org/officeDocument/2006/relationships/image" Target="../media/image11.emf"/><Relationship Id="rId10" Type="http://schemas.openxmlformats.org/officeDocument/2006/relationships/chart" Target="../charts/chart5.xml"/><Relationship Id="rId19" Type="http://schemas.openxmlformats.org/officeDocument/2006/relationships/chart" Target="../charts/chart11.xml"/><Relationship Id="rId4" Type="http://schemas.openxmlformats.org/officeDocument/2006/relationships/image" Target="../media/image6.svg"/><Relationship Id="rId9" Type="http://schemas.openxmlformats.org/officeDocument/2006/relationships/hyperlink" Target="#Data!D1"/><Relationship Id="rId14" Type="http://schemas.openxmlformats.org/officeDocument/2006/relationships/chart" Target="../charts/chart7.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2.emf"/></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0</xdr:rowOff>
    </xdr:from>
    <xdr:to>
      <xdr:col>7</xdr:col>
      <xdr:colOff>0</xdr:colOff>
      <xdr:row>10</xdr:row>
      <xdr:rowOff>15240</xdr:rowOff>
    </xdr:to>
    <xdr:graphicFrame macro="">
      <xdr:nvGraphicFramePr>
        <xdr:cNvPr id="4" name="Chart 3">
          <a:extLst>
            <a:ext uri="{FF2B5EF4-FFF2-40B4-BE49-F238E27FC236}">
              <a16:creationId xmlns:a16="http://schemas.microsoft.com/office/drawing/2014/main" id="{EA2FE5EE-9342-488D-99A5-5C109DF097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22168</xdr:colOff>
      <xdr:row>0</xdr:row>
      <xdr:rowOff>75507</xdr:rowOff>
    </xdr:from>
    <xdr:to>
      <xdr:col>2</xdr:col>
      <xdr:colOff>843743</xdr:colOff>
      <xdr:row>4</xdr:row>
      <xdr:rowOff>105987</xdr:rowOff>
    </xdr:to>
    <xdr:pic>
      <xdr:nvPicPr>
        <xdr:cNvPr id="6" name="Graphic 5" descr="Home">
          <a:hlinkClick xmlns:r="http://schemas.openxmlformats.org/officeDocument/2006/relationships" r:id="rId2"/>
          <a:extLst>
            <a:ext uri="{FF2B5EF4-FFF2-40B4-BE49-F238E27FC236}">
              <a16:creationId xmlns:a16="http://schemas.microsoft.com/office/drawing/2014/main" id="{0D1627FA-C2D9-3FC0-E3EB-C2CC7B774BC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322023" y="75507"/>
          <a:ext cx="821575" cy="834044"/>
        </a:xfrm>
        <a:prstGeom prst="rect">
          <a:avLst/>
        </a:prstGeom>
      </xdr:spPr>
    </xdr:pic>
    <xdr:clientData/>
  </xdr:twoCellAnchor>
  <xdr:twoCellAnchor>
    <xdr:from>
      <xdr:col>7</xdr:col>
      <xdr:colOff>220980</xdr:colOff>
      <xdr:row>0</xdr:row>
      <xdr:rowOff>0</xdr:rowOff>
    </xdr:from>
    <xdr:to>
      <xdr:col>10</xdr:col>
      <xdr:colOff>1173480</xdr:colOff>
      <xdr:row>10</xdr:row>
      <xdr:rowOff>76200</xdr:rowOff>
    </xdr:to>
    <xdr:graphicFrame macro="">
      <xdr:nvGraphicFramePr>
        <xdr:cNvPr id="7" name="Chart 6">
          <a:extLst>
            <a:ext uri="{FF2B5EF4-FFF2-40B4-BE49-F238E27FC236}">
              <a16:creationId xmlns:a16="http://schemas.microsoft.com/office/drawing/2014/main" id="{90B32353-96F7-D75F-77A2-503E6B2D63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810489</xdr:colOff>
      <xdr:row>10</xdr:row>
      <xdr:rowOff>145473</xdr:rowOff>
    </xdr:from>
    <xdr:to>
      <xdr:col>7</xdr:col>
      <xdr:colOff>55416</xdr:colOff>
      <xdr:row>22</xdr:row>
      <xdr:rowOff>62345</xdr:rowOff>
    </xdr:to>
    <xdr:graphicFrame macro="">
      <xdr:nvGraphicFramePr>
        <xdr:cNvPr id="3" name="Chart 2">
          <a:extLst>
            <a:ext uri="{FF2B5EF4-FFF2-40B4-BE49-F238E27FC236}">
              <a16:creationId xmlns:a16="http://schemas.microsoft.com/office/drawing/2014/main" id="{F76EF179-9272-0F7F-10AC-35091F1F80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38101</xdr:colOff>
      <xdr:row>24</xdr:row>
      <xdr:rowOff>187036</xdr:rowOff>
    </xdr:from>
    <xdr:to>
      <xdr:col>5</xdr:col>
      <xdr:colOff>55418</xdr:colOff>
      <xdr:row>27</xdr:row>
      <xdr:rowOff>6926</xdr:rowOff>
    </xdr:to>
    <xdr:graphicFrame macro="">
      <xdr:nvGraphicFramePr>
        <xdr:cNvPr id="13" name="Chart 12">
          <a:extLst>
            <a:ext uri="{FF2B5EF4-FFF2-40B4-BE49-F238E27FC236}">
              <a16:creationId xmlns:a16="http://schemas.microsoft.com/office/drawing/2014/main" id="{9DEC7FD2-FE3F-C12C-9494-843AE9F6E2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597791</xdr:colOff>
      <xdr:row>5</xdr:row>
      <xdr:rowOff>30480</xdr:rowOff>
    </xdr:from>
    <xdr:to>
      <xdr:col>11</xdr:col>
      <xdr:colOff>667235</xdr:colOff>
      <xdr:row>10</xdr:row>
      <xdr:rowOff>7620</xdr:rowOff>
    </xdr:to>
    <xdr:sp macro="" textlink="Data!B5">
      <xdr:nvSpPr>
        <xdr:cNvPr id="20" name="Rectangle: Rounded Corners 19">
          <a:extLst>
            <a:ext uri="{FF2B5EF4-FFF2-40B4-BE49-F238E27FC236}">
              <a16:creationId xmlns:a16="http://schemas.microsoft.com/office/drawing/2014/main" id="{E0563576-7083-8443-12D6-27D52BC422A8}"/>
            </a:ext>
          </a:extLst>
        </xdr:cNvPr>
        <xdr:cNvSpPr/>
      </xdr:nvSpPr>
      <xdr:spPr>
        <a:xfrm>
          <a:off x="6449951" y="1021080"/>
          <a:ext cx="2264004" cy="967740"/>
        </a:xfrm>
        <a:prstGeom prst="roundRect">
          <a:avLst>
            <a:gd name="adj" fmla="val 6053"/>
          </a:avLst>
        </a:prstGeom>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path path="circle">
            <a:fillToRect l="50000" t="50000" r="50000" b="50000"/>
          </a:path>
          <a:tileRect/>
        </a:gradFill>
        <a:ln w="12700">
          <a:solidFill>
            <a:schemeClr val="tx1"/>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endParaRPr lang="en-IN" sz="1800">
            <a:solidFill>
              <a:schemeClr val="accent6">
                <a:lumMod val="20000"/>
                <a:lumOff val="80000"/>
              </a:schemeClr>
            </a:solidFill>
            <a:latin typeface="Aptos" panose="020B0004020202020204" pitchFamily="34" charset="0"/>
          </a:endParaRPr>
        </a:p>
      </xdr:txBody>
    </xdr:sp>
    <xdr:clientData/>
  </xdr:twoCellAnchor>
  <xdr:twoCellAnchor>
    <xdr:from>
      <xdr:col>2</xdr:col>
      <xdr:colOff>148211</xdr:colOff>
      <xdr:row>5</xdr:row>
      <xdr:rowOff>38100</xdr:rowOff>
    </xdr:from>
    <xdr:to>
      <xdr:col>5</xdr:col>
      <xdr:colOff>217655</xdr:colOff>
      <xdr:row>10</xdr:row>
      <xdr:rowOff>15240</xdr:rowOff>
    </xdr:to>
    <xdr:sp macro="" textlink="Data!B5">
      <xdr:nvSpPr>
        <xdr:cNvPr id="4" name="Rectangle: Rounded Corners 3">
          <a:extLst>
            <a:ext uri="{FF2B5EF4-FFF2-40B4-BE49-F238E27FC236}">
              <a16:creationId xmlns:a16="http://schemas.microsoft.com/office/drawing/2014/main" id="{8509A037-36E4-16E1-8922-1B149ABB7591}"/>
            </a:ext>
          </a:extLst>
        </xdr:cNvPr>
        <xdr:cNvSpPr/>
      </xdr:nvSpPr>
      <xdr:spPr>
        <a:xfrm>
          <a:off x="1611251" y="1028700"/>
          <a:ext cx="2264004" cy="967740"/>
        </a:xfrm>
        <a:prstGeom prst="roundRect">
          <a:avLst>
            <a:gd name="adj" fmla="val 6053"/>
          </a:avLst>
        </a:prstGeom>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path path="circle">
            <a:fillToRect l="50000" t="50000" r="50000" b="50000"/>
          </a:path>
          <a:tileRect/>
        </a:gradFill>
        <a:ln w="12700">
          <a:solidFill>
            <a:schemeClr val="tx1"/>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endParaRPr lang="en-IN" sz="1800">
            <a:solidFill>
              <a:schemeClr val="accent6">
                <a:lumMod val="20000"/>
                <a:lumOff val="80000"/>
              </a:schemeClr>
            </a:solidFill>
            <a:latin typeface="Aptos" panose="020B0004020202020204" pitchFamily="34" charset="0"/>
          </a:endParaRPr>
        </a:p>
      </xdr:txBody>
    </xdr:sp>
    <xdr:clientData/>
  </xdr:twoCellAnchor>
  <xdr:twoCellAnchor>
    <xdr:from>
      <xdr:col>0</xdr:col>
      <xdr:colOff>129540</xdr:colOff>
      <xdr:row>1</xdr:row>
      <xdr:rowOff>0</xdr:rowOff>
    </xdr:from>
    <xdr:to>
      <xdr:col>7</xdr:col>
      <xdr:colOff>716280</xdr:colOff>
      <xdr:row>4</xdr:row>
      <xdr:rowOff>15240</xdr:rowOff>
    </xdr:to>
    <xdr:sp macro="" textlink="">
      <xdr:nvSpPr>
        <xdr:cNvPr id="2" name="Rectangle: Rounded Corners 1">
          <a:extLst>
            <a:ext uri="{FF2B5EF4-FFF2-40B4-BE49-F238E27FC236}">
              <a16:creationId xmlns:a16="http://schemas.microsoft.com/office/drawing/2014/main" id="{6558292C-41DA-2FAF-C4BB-2178496DEB7B}"/>
            </a:ext>
          </a:extLst>
        </xdr:cNvPr>
        <xdr:cNvSpPr/>
      </xdr:nvSpPr>
      <xdr:spPr>
        <a:xfrm>
          <a:off x="129540" y="198120"/>
          <a:ext cx="5707380" cy="609600"/>
        </a:xfrm>
        <a:prstGeom prst="roundRect">
          <a:avLst>
            <a:gd name="adj" fmla="val 18750"/>
          </a:avLst>
        </a:prstGeom>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path path="circle">
            <a:fillToRect l="50000" t="50000" r="50000" b="50000"/>
          </a:path>
          <a:tileRect/>
        </a:gradFill>
        <a:ln w="12700">
          <a:solidFill>
            <a:schemeClr val="tx1"/>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r"/>
          <a:r>
            <a:rPr lang="en-IN" sz="2300">
              <a:solidFill>
                <a:schemeClr val="accent6">
                  <a:lumMod val="20000"/>
                  <a:lumOff val="80000"/>
                </a:schemeClr>
              </a:solidFill>
              <a:latin typeface="Aptos" panose="020B0004020202020204" pitchFamily="34" charset="0"/>
            </a:rPr>
            <a:t>Hospital Emergency Room</a:t>
          </a:r>
          <a:r>
            <a:rPr lang="en-IN" sz="2300" baseline="0">
              <a:solidFill>
                <a:schemeClr val="accent6">
                  <a:lumMod val="20000"/>
                  <a:lumOff val="80000"/>
                </a:schemeClr>
              </a:solidFill>
              <a:latin typeface="Aptos" panose="020B0004020202020204" pitchFamily="34" charset="0"/>
            </a:rPr>
            <a:t> Dashboard</a:t>
          </a:r>
          <a:endParaRPr lang="en-IN" sz="2300">
            <a:solidFill>
              <a:schemeClr val="accent6">
                <a:lumMod val="20000"/>
                <a:lumOff val="80000"/>
              </a:schemeClr>
            </a:solidFill>
            <a:latin typeface="Aptos" panose="020B0004020202020204" pitchFamily="34" charset="0"/>
          </a:endParaRPr>
        </a:p>
      </xdr:txBody>
    </xdr:sp>
    <xdr:clientData/>
  </xdr:twoCellAnchor>
  <xdr:twoCellAnchor>
    <xdr:from>
      <xdr:col>8</xdr:col>
      <xdr:colOff>99060</xdr:colOff>
      <xdr:row>0</xdr:row>
      <xdr:rowOff>190500</xdr:rowOff>
    </xdr:from>
    <xdr:to>
      <xdr:col>12</xdr:col>
      <xdr:colOff>0</xdr:colOff>
      <xdr:row>4</xdr:row>
      <xdr:rowOff>7620</xdr:rowOff>
    </xdr:to>
    <xdr:sp macro="" textlink="">
      <xdr:nvSpPr>
        <xdr:cNvPr id="5" name="Rectangle: Rounded Corners 4">
          <a:extLst>
            <a:ext uri="{FF2B5EF4-FFF2-40B4-BE49-F238E27FC236}">
              <a16:creationId xmlns:a16="http://schemas.microsoft.com/office/drawing/2014/main" id="{3DDE13EC-1399-4E7B-9527-9E6DC921C084}"/>
            </a:ext>
          </a:extLst>
        </xdr:cNvPr>
        <xdr:cNvSpPr/>
      </xdr:nvSpPr>
      <xdr:spPr>
        <a:xfrm>
          <a:off x="5951220" y="190500"/>
          <a:ext cx="2827020" cy="609600"/>
        </a:xfrm>
        <a:prstGeom prst="roundRect">
          <a:avLst>
            <a:gd name="adj" fmla="val 22500"/>
          </a:avLst>
        </a:prstGeom>
        <a:solidFill>
          <a:schemeClr val="accent6">
            <a:lumMod val="50000"/>
          </a:schemeClr>
        </a:solidFill>
        <a:ln w="12700">
          <a:solidFill>
            <a:schemeClr val="tx1"/>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endParaRPr lang="en-IN" sz="1400">
            <a:solidFill>
              <a:schemeClr val="accent6">
                <a:lumMod val="20000"/>
                <a:lumOff val="80000"/>
              </a:schemeClr>
            </a:solidFill>
            <a:latin typeface="Aptos" panose="020B0004020202020204" pitchFamily="34" charset="0"/>
          </a:endParaRPr>
        </a:p>
      </xdr:txBody>
    </xdr:sp>
    <xdr:clientData/>
  </xdr:twoCellAnchor>
  <xdr:twoCellAnchor>
    <xdr:from>
      <xdr:col>12</xdr:col>
      <xdr:colOff>160020</xdr:colOff>
      <xdr:row>0</xdr:row>
      <xdr:rowOff>175260</xdr:rowOff>
    </xdr:from>
    <xdr:to>
      <xdr:col>14</xdr:col>
      <xdr:colOff>716280</xdr:colOff>
      <xdr:row>8</xdr:row>
      <xdr:rowOff>91440</xdr:rowOff>
    </xdr:to>
    <xdr:sp macro="" textlink="">
      <xdr:nvSpPr>
        <xdr:cNvPr id="6" name="Rectangle: Rounded Corners 5">
          <a:extLst>
            <a:ext uri="{FF2B5EF4-FFF2-40B4-BE49-F238E27FC236}">
              <a16:creationId xmlns:a16="http://schemas.microsoft.com/office/drawing/2014/main" id="{F807E405-3E69-B40E-7917-29E46970DDCD}"/>
            </a:ext>
          </a:extLst>
        </xdr:cNvPr>
        <xdr:cNvSpPr/>
      </xdr:nvSpPr>
      <xdr:spPr>
        <a:xfrm>
          <a:off x="8938260" y="175260"/>
          <a:ext cx="2019300" cy="1501140"/>
        </a:xfrm>
        <a:prstGeom prst="roundRect">
          <a:avLst>
            <a:gd name="adj" fmla="val 10598"/>
          </a:avLst>
        </a:prstGeom>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path path="circle">
            <a:fillToRect l="50000" t="50000" r="50000" b="50000"/>
          </a:path>
          <a:tileRect/>
        </a:gradFill>
        <a:ln w="12700">
          <a:solidFill>
            <a:schemeClr val="tx1"/>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endParaRPr lang="en-IN" sz="1400">
            <a:solidFill>
              <a:schemeClr val="accent6">
                <a:lumMod val="20000"/>
                <a:lumOff val="80000"/>
              </a:schemeClr>
            </a:solidFill>
            <a:latin typeface="Aptos" panose="020B0004020202020204" pitchFamily="34" charset="0"/>
          </a:endParaRPr>
        </a:p>
      </xdr:txBody>
    </xdr:sp>
    <xdr:clientData/>
  </xdr:twoCellAnchor>
  <xdr:twoCellAnchor>
    <xdr:from>
      <xdr:col>0</xdr:col>
      <xdr:colOff>129540</xdr:colOff>
      <xdr:row>5</xdr:row>
      <xdr:rowOff>7620</xdr:rowOff>
    </xdr:from>
    <xdr:to>
      <xdr:col>2</xdr:col>
      <xdr:colOff>7620</xdr:colOff>
      <xdr:row>25</xdr:row>
      <xdr:rowOff>7620</xdr:rowOff>
    </xdr:to>
    <xdr:sp macro="" textlink="">
      <xdr:nvSpPr>
        <xdr:cNvPr id="8" name="Rectangle: Rounded Corners 7">
          <a:extLst>
            <a:ext uri="{FF2B5EF4-FFF2-40B4-BE49-F238E27FC236}">
              <a16:creationId xmlns:a16="http://schemas.microsoft.com/office/drawing/2014/main" id="{2304808B-438B-6EB3-EBEF-FFFDD2845BC4}"/>
            </a:ext>
          </a:extLst>
        </xdr:cNvPr>
        <xdr:cNvSpPr/>
      </xdr:nvSpPr>
      <xdr:spPr>
        <a:xfrm>
          <a:off x="129540" y="998220"/>
          <a:ext cx="1341120" cy="3962400"/>
        </a:xfrm>
        <a:prstGeom prst="roundRect">
          <a:avLst>
            <a:gd name="adj" fmla="val 10227"/>
          </a:avLst>
        </a:prstGeom>
        <a:solidFill>
          <a:schemeClr val="accent6">
            <a:lumMod val="50000"/>
          </a:schemeClr>
        </a:solidFill>
        <a:ln w="12700">
          <a:solidFill>
            <a:schemeClr val="tx1"/>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endParaRPr lang="en-IN" sz="1400">
            <a:solidFill>
              <a:schemeClr val="accent6">
                <a:lumMod val="20000"/>
                <a:lumOff val="80000"/>
              </a:schemeClr>
            </a:solidFill>
            <a:latin typeface="Aptos" panose="020B0004020202020204" pitchFamily="34" charset="0"/>
          </a:endParaRPr>
        </a:p>
      </xdr:txBody>
    </xdr:sp>
    <xdr:clientData/>
  </xdr:twoCellAnchor>
  <xdr:twoCellAnchor>
    <xdr:from>
      <xdr:col>15</xdr:col>
      <xdr:colOff>160020</xdr:colOff>
      <xdr:row>0</xdr:row>
      <xdr:rowOff>175260</xdr:rowOff>
    </xdr:from>
    <xdr:to>
      <xdr:col>17</xdr:col>
      <xdr:colOff>716280</xdr:colOff>
      <xdr:row>8</xdr:row>
      <xdr:rowOff>91440</xdr:rowOff>
    </xdr:to>
    <xdr:sp macro="" textlink="">
      <xdr:nvSpPr>
        <xdr:cNvPr id="9" name="Rectangle: Rounded Corners 8">
          <a:extLst>
            <a:ext uri="{FF2B5EF4-FFF2-40B4-BE49-F238E27FC236}">
              <a16:creationId xmlns:a16="http://schemas.microsoft.com/office/drawing/2014/main" id="{EF2E4B08-4732-1C97-4992-E1F0D4F9B6CB}"/>
            </a:ext>
          </a:extLst>
        </xdr:cNvPr>
        <xdr:cNvSpPr/>
      </xdr:nvSpPr>
      <xdr:spPr>
        <a:xfrm>
          <a:off x="11132820" y="175260"/>
          <a:ext cx="2019300" cy="1501140"/>
        </a:xfrm>
        <a:prstGeom prst="roundRect">
          <a:avLst>
            <a:gd name="adj" fmla="val 6794"/>
          </a:avLst>
        </a:prstGeom>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path path="circle">
            <a:fillToRect l="50000" t="50000" r="50000" b="50000"/>
          </a:path>
          <a:tileRect/>
        </a:gradFill>
        <a:ln w="12700">
          <a:solidFill>
            <a:schemeClr val="tx1"/>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endParaRPr lang="en-IN" sz="1400">
            <a:solidFill>
              <a:schemeClr val="accent6">
                <a:lumMod val="20000"/>
                <a:lumOff val="80000"/>
              </a:schemeClr>
            </a:solidFill>
            <a:latin typeface="Aptos" panose="020B0004020202020204" pitchFamily="34" charset="0"/>
          </a:endParaRPr>
        </a:p>
      </xdr:txBody>
    </xdr:sp>
    <xdr:clientData/>
  </xdr:twoCellAnchor>
  <xdr:twoCellAnchor>
    <xdr:from>
      <xdr:col>5</xdr:col>
      <xdr:colOff>399671</xdr:colOff>
      <xdr:row>5</xdr:row>
      <xdr:rowOff>30480</xdr:rowOff>
    </xdr:from>
    <xdr:to>
      <xdr:col>8</xdr:col>
      <xdr:colOff>469115</xdr:colOff>
      <xdr:row>10</xdr:row>
      <xdr:rowOff>7620</xdr:rowOff>
    </xdr:to>
    <xdr:sp macro="" textlink="Data!B5">
      <xdr:nvSpPr>
        <xdr:cNvPr id="13" name="Rectangle: Rounded Corners 12">
          <a:extLst>
            <a:ext uri="{FF2B5EF4-FFF2-40B4-BE49-F238E27FC236}">
              <a16:creationId xmlns:a16="http://schemas.microsoft.com/office/drawing/2014/main" id="{21D8B202-AE90-13E9-63C8-66E3717667B1}"/>
            </a:ext>
          </a:extLst>
        </xdr:cNvPr>
        <xdr:cNvSpPr/>
      </xdr:nvSpPr>
      <xdr:spPr>
        <a:xfrm>
          <a:off x="4057271" y="1021080"/>
          <a:ext cx="2264004" cy="967740"/>
        </a:xfrm>
        <a:prstGeom prst="roundRect">
          <a:avLst>
            <a:gd name="adj" fmla="val 6053"/>
          </a:avLst>
        </a:prstGeom>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path path="circle">
            <a:fillToRect l="50000" t="50000" r="50000" b="50000"/>
          </a:path>
          <a:tileRect/>
        </a:gradFill>
        <a:ln w="12700">
          <a:solidFill>
            <a:schemeClr val="tx1"/>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endParaRPr lang="en-IN" sz="1800">
            <a:solidFill>
              <a:schemeClr val="accent6">
                <a:lumMod val="20000"/>
                <a:lumOff val="80000"/>
              </a:schemeClr>
            </a:solidFill>
            <a:latin typeface="Aptos" panose="020B0004020202020204" pitchFamily="34" charset="0"/>
          </a:endParaRPr>
        </a:p>
      </xdr:txBody>
    </xdr:sp>
    <xdr:clientData/>
  </xdr:twoCellAnchor>
  <xdr:twoCellAnchor>
    <xdr:from>
      <xdr:col>2</xdr:col>
      <xdr:colOff>175260</xdr:colOff>
      <xdr:row>10</xdr:row>
      <xdr:rowOff>91440</xdr:rowOff>
    </xdr:from>
    <xdr:to>
      <xdr:col>12</xdr:col>
      <xdr:colOff>7620</xdr:colOff>
      <xdr:row>14</xdr:row>
      <xdr:rowOff>121920</xdr:rowOff>
    </xdr:to>
    <xdr:sp macro="" textlink="">
      <xdr:nvSpPr>
        <xdr:cNvPr id="7" name="Rectangle: Rounded Corners 6">
          <a:extLst>
            <a:ext uri="{FF2B5EF4-FFF2-40B4-BE49-F238E27FC236}">
              <a16:creationId xmlns:a16="http://schemas.microsoft.com/office/drawing/2014/main" id="{CF5E257E-A226-93B2-996A-DC21665DD0BC}"/>
            </a:ext>
          </a:extLst>
        </xdr:cNvPr>
        <xdr:cNvSpPr/>
      </xdr:nvSpPr>
      <xdr:spPr>
        <a:xfrm>
          <a:off x="1638300" y="2072640"/>
          <a:ext cx="7147560" cy="822960"/>
        </a:xfrm>
        <a:prstGeom prst="roundRect">
          <a:avLst>
            <a:gd name="adj" fmla="val 11713"/>
          </a:avLst>
        </a:prstGeom>
        <a:solidFill>
          <a:schemeClr val="accent6">
            <a:lumMod val="75000"/>
          </a:schemeClr>
        </a:solidFill>
        <a:ln w="12700">
          <a:solidFill>
            <a:schemeClr val="tx1"/>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endParaRPr lang="en-IN" sz="1400">
            <a:solidFill>
              <a:schemeClr val="accent6">
                <a:lumMod val="20000"/>
                <a:lumOff val="80000"/>
              </a:schemeClr>
            </a:solidFill>
            <a:latin typeface="Aptos" panose="020B0004020202020204" pitchFamily="34" charset="0"/>
          </a:endParaRPr>
        </a:p>
      </xdr:txBody>
    </xdr:sp>
    <xdr:clientData/>
  </xdr:twoCellAnchor>
  <xdr:twoCellAnchor>
    <xdr:from>
      <xdr:col>2</xdr:col>
      <xdr:colOff>175260</xdr:colOff>
      <xdr:row>15</xdr:row>
      <xdr:rowOff>15240</xdr:rowOff>
    </xdr:from>
    <xdr:to>
      <xdr:col>12</xdr:col>
      <xdr:colOff>7620</xdr:colOff>
      <xdr:row>24</xdr:row>
      <xdr:rowOff>190500</xdr:rowOff>
    </xdr:to>
    <xdr:sp macro="" textlink="">
      <xdr:nvSpPr>
        <xdr:cNvPr id="10" name="Rectangle: Rounded Corners 9">
          <a:extLst>
            <a:ext uri="{FF2B5EF4-FFF2-40B4-BE49-F238E27FC236}">
              <a16:creationId xmlns:a16="http://schemas.microsoft.com/office/drawing/2014/main" id="{1DFFB6DA-AF8E-4417-C569-5BB2A95C01A2}"/>
            </a:ext>
          </a:extLst>
        </xdr:cNvPr>
        <xdr:cNvSpPr/>
      </xdr:nvSpPr>
      <xdr:spPr>
        <a:xfrm>
          <a:off x="1638300" y="2987040"/>
          <a:ext cx="7147560" cy="1958340"/>
        </a:xfrm>
        <a:prstGeom prst="roundRect">
          <a:avLst>
            <a:gd name="adj" fmla="val 5958"/>
          </a:avLst>
        </a:prstGeom>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path path="circle">
            <a:fillToRect l="50000" t="50000" r="50000" b="50000"/>
          </a:path>
          <a:tileRect/>
        </a:gradFill>
        <a:ln w="12700">
          <a:solidFill>
            <a:schemeClr val="tx1"/>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endParaRPr lang="en-IN" sz="1400">
            <a:solidFill>
              <a:schemeClr val="accent6">
                <a:lumMod val="20000"/>
                <a:lumOff val="80000"/>
              </a:schemeClr>
            </a:solidFill>
            <a:latin typeface="Aptos" panose="020B0004020202020204" pitchFamily="34" charset="0"/>
          </a:endParaRPr>
        </a:p>
      </xdr:txBody>
    </xdr:sp>
    <xdr:clientData/>
  </xdr:twoCellAnchor>
  <xdr:twoCellAnchor>
    <xdr:from>
      <xdr:col>12</xdr:col>
      <xdr:colOff>160020</xdr:colOff>
      <xdr:row>8</xdr:row>
      <xdr:rowOff>182880</xdr:rowOff>
    </xdr:from>
    <xdr:to>
      <xdr:col>18</xdr:col>
      <xdr:colOff>15240</xdr:colOff>
      <xdr:row>25</xdr:row>
      <xdr:rowOff>0</xdr:rowOff>
    </xdr:to>
    <xdr:sp macro="" textlink="">
      <xdr:nvSpPr>
        <xdr:cNvPr id="11" name="Rectangle: Rounded Corners 10">
          <a:extLst>
            <a:ext uri="{FF2B5EF4-FFF2-40B4-BE49-F238E27FC236}">
              <a16:creationId xmlns:a16="http://schemas.microsoft.com/office/drawing/2014/main" id="{5EED3AC1-64B3-96CB-CCF7-C02ECC0E634E}"/>
            </a:ext>
          </a:extLst>
        </xdr:cNvPr>
        <xdr:cNvSpPr/>
      </xdr:nvSpPr>
      <xdr:spPr>
        <a:xfrm>
          <a:off x="8938260" y="1767840"/>
          <a:ext cx="4244340" cy="3185160"/>
        </a:xfrm>
        <a:prstGeom prst="roundRect">
          <a:avLst>
            <a:gd name="adj" fmla="val 5725"/>
          </a:avLst>
        </a:prstGeom>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path path="circle">
            <a:fillToRect l="50000" t="50000" r="50000" b="50000"/>
          </a:path>
          <a:tileRect/>
        </a:gradFill>
        <a:ln w="12700">
          <a:solidFill>
            <a:schemeClr val="tx1"/>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endParaRPr lang="en-IN" sz="1400">
            <a:solidFill>
              <a:schemeClr val="accent6">
                <a:lumMod val="20000"/>
                <a:lumOff val="80000"/>
              </a:schemeClr>
            </a:solidFill>
            <a:latin typeface="Aptos" panose="020B0004020202020204" pitchFamily="34" charset="0"/>
          </a:endParaRPr>
        </a:p>
      </xdr:txBody>
    </xdr:sp>
    <xdr:clientData/>
  </xdr:twoCellAnchor>
  <xdr:twoCellAnchor editAs="oneCell">
    <xdr:from>
      <xdr:col>0</xdr:col>
      <xdr:colOff>205740</xdr:colOff>
      <xdr:row>0</xdr:row>
      <xdr:rowOff>190500</xdr:rowOff>
    </xdr:from>
    <xdr:to>
      <xdr:col>1</xdr:col>
      <xdr:colOff>91440</xdr:colOff>
      <xdr:row>4</xdr:row>
      <xdr:rowOff>15240</xdr:rowOff>
    </xdr:to>
    <xdr:pic>
      <xdr:nvPicPr>
        <xdr:cNvPr id="17" name="Graphic 16" descr="Hospital">
          <a:extLst>
            <a:ext uri="{FF2B5EF4-FFF2-40B4-BE49-F238E27FC236}">
              <a16:creationId xmlns:a16="http://schemas.microsoft.com/office/drawing/2014/main" id="{1FF2FBCD-DACF-957B-2957-13C4AE6E26C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5740" y="190500"/>
          <a:ext cx="617220" cy="617220"/>
        </a:xfrm>
        <a:prstGeom prst="rect">
          <a:avLst/>
        </a:prstGeom>
      </xdr:spPr>
    </xdr:pic>
    <xdr:clientData/>
  </xdr:twoCellAnchor>
  <xdr:twoCellAnchor editAs="oneCell">
    <xdr:from>
      <xdr:col>2</xdr:col>
      <xdr:colOff>167640</xdr:colOff>
      <xdr:row>5</xdr:row>
      <xdr:rowOff>45720</xdr:rowOff>
    </xdr:from>
    <xdr:to>
      <xdr:col>3</xdr:col>
      <xdr:colOff>106680</xdr:colOff>
      <xdr:row>8</xdr:row>
      <xdr:rowOff>121920</xdr:rowOff>
    </xdr:to>
    <xdr:pic>
      <xdr:nvPicPr>
        <xdr:cNvPr id="19" name="Graphic 18" descr="Users">
          <a:extLst>
            <a:ext uri="{FF2B5EF4-FFF2-40B4-BE49-F238E27FC236}">
              <a16:creationId xmlns:a16="http://schemas.microsoft.com/office/drawing/2014/main" id="{0B851DA7-AF05-FC3F-D21A-09030C639B3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30680" y="1036320"/>
          <a:ext cx="670560" cy="670560"/>
        </a:xfrm>
        <a:prstGeom prst="rect">
          <a:avLst/>
        </a:prstGeom>
      </xdr:spPr>
    </xdr:pic>
    <xdr:clientData/>
  </xdr:twoCellAnchor>
  <xdr:twoCellAnchor editAs="oneCell">
    <xdr:from>
      <xdr:col>5</xdr:col>
      <xdr:colOff>378600</xdr:colOff>
      <xdr:row>5</xdr:row>
      <xdr:rowOff>43320</xdr:rowOff>
    </xdr:from>
    <xdr:to>
      <xdr:col>6</xdr:col>
      <xdr:colOff>259080</xdr:colOff>
      <xdr:row>8</xdr:row>
      <xdr:rowOff>60960</xdr:rowOff>
    </xdr:to>
    <xdr:pic>
      <xdr:nvPicPr>
        <xdr:cNvPr id="21" name="Graphic 20" descr="Hourglass">
          <a:extLst>
            <a:ext uri="{FF2B5EF4-FFF2-40B4-BE49-F238E27FC236}">
              <a16:creationId xmlns:a16="http://schemas.microsoft.com/office/drawing/2014/main" id="{A55DADBB-F4E3-5B9F-5FCB-40ED55DD330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036200" y="1033920"/>
          <a:ext cx="612000" cy="612000"/>
        </a:xfrm>
        <a:prstGeom prst="rect">
          <a:avLst/>
        </a:prstGeom>
      </xdr:spPr>
    </xdr:pic>
    <xdr:clientData/>
  </xdr:twoCellAnchor>
  <xdr:twoCellAnchor editAs="oneCell">
    <xdr:from>
      <xdr:col>8</xdr:col>
      <xdr:colOff>559080</xdr:colOff>
      <xdr:row>5</xdr:row>
      <xdr:rowOff>155220</xdr:rowOff>
    </xdr:from>
    <xdr:to>
      <xdr:col>9</xdr:col>
      <xdr:colOff>434340</xdr:colOff>
      <xdr:row>8</xdr:row>
      <xdr:rowOff>167640</xdr:rowOff>
    </xdr:to>
    <xdr:pic>
      <xdr:nvPicPr>
        <xdr:cNvPr id="23" name="Graphic 22" descr="Bar chart">
          <a:extLst>
            <a:ext uri="{FF2B5EF4-FFF2-40B4-BE49-F238E27FC236}">
              <a16:creationId xmlns:a16="http://schemas.microsoft.com/office/drawing/2014/main" id="{94E8386E-994E-08B6-BC66-89B6824E3BD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411240" y="1145820"/>
          <a:ext cx="606780" cy="606780"/>
        </a:xfrm>
        <a:prstGeom prst="rect">
          <a:avLst/>
        </a:prstGeom>
      </xdr:spPr>
    </xdr:pic>
    <xdr:clientData/>
  </xdr:twoCellAnchor>
  <xdr:oneCellAnchor>
    <xdr:from>
      <xdr:col>3</xdr:col>
      <xdr:colOff>27379</xdr:colOff>
      <xdr:row>5</xdr:row>
      <xdr:rowOff>22050</xdr:rowOff>
    </xdr:from>
    <xdr:ext cx="1652953" cy="374077"/>
    <xdr:sp macro="" textlink="">
      <xdr:nvSpPr>
        <xdr:cNvPr id="24" name="TextBox 23">
          <a:extLst>
            <a:ext uri="{FF2B5EF4-FFF2-40B4-BE49-F238E27FC236}">
              <a16:creationId xmlns:a16="http://schemas.microsoft.com/office/drawing/2014/main" id="{615BCF3D-9DA0-F2DB-E447-4BE6ED47EE6D}"/>
            </a:ext>
          </a:extLst>
        </xdr:cNvPr>
        <xdr:cNvSpPr txBox="1"/>
      </xdr:nvSpPr>
      <xdr:spPr>
        <a:xfrm>
          <a:off x="2221939" y="1012650"/>
          <a:ext cx="1652953"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1800">
              <a:solidFill>
                <a:schemeClr val="accent6">
                  <a:lumMod val="20000"/>
                  <a:lumOff val="80000"/>
                </a:schemeClr>
              </a:solidFill>
              <a:latin typeface="Aptos" panose="020B0004020202020204" pitchFamily="34" charset="0"/>
            </a:rPr>
            <a:t>No. of Patients</a:t>
          </a:r>
        </a:p>
      </xdr:txBody>
    </xdr:sp>
    <xdr:clientData/>
  </xdr:oneCellAnchor>
  <xdr:oneCellAnchor>
    <xdr:from>
      <xdr:col>3</xdr:col>
      <xdr:colOff>484712</xdr:colOff>
      <xdr:row>6</xdr:row>
      <xdr:rowOff>121110</xdr:rowOff>
    </xdr:from>
    <xdr:ext cx="554575" cy="374077"/>
    <xdr:sp macro="" textlink="Data!B2">
      <xdr:nvSpPr>
        <xdr:cNvPr id="26" name="TextBox 25">
          <a:extLst>
            <a:ext uri="{FF2B5EF4-FFF2-40B4-BE49-F238E27FC236}">
              <a16:creationId xmlns:a16="http://schemas.microsoft.com/office/drawing/2014/main" id="{5A7786C7-ED94-4F78-95C7-BCD3483A974B}"/>
            </a:ext>
          </a:extLst>
        </xdr:cNvPr>
        <xdr:cNvSpPr txBox="1"/>
      </xdr:nvSpPr>
      <xdr:spPr>
        <a:xfrm>
          <a:off x="2679272" y="1309830"/>
          <a:ext cx="554575"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E65A7E96-456E-4495-BF60-88E4BE2AC588}" type="TxLink">
            <a:rPr lang="en-US" sz="1800" b="0" i="0" u="none" strike="noStrike">
              <a:solidFill>
                <a:schemeClr val="accent6">
                  <a:lumMod val="20000"/>
                  <a:lumOff val="80000"/>
                </a:schemeClr>
              </a:solidFill>
              <a:latin typeface="Aptos" panose="020B0004020202020204" pitchFamily="34" charset="0"/>
            </a:rPr>
            <a:pPr algn="ctr"/>
            <a:t>300</a:t>
          </a:fld>
          <a:endParaRPr lang="en-IN" sz="1800">
            <a:solidFill>
              <a:schemeClr val="accent6">
                <a:lumMod val="20000"/>
                <a:lumOff val="80000"/>
              </a:schemeClr>
            </a:solidFill>
            <a:latin typeface="Aptos" panose="020B0004020202020204" pitchFamily="34" charset="0"/>
          </a:endParaRPr>
        </a:p>
      </xdr:txBody>
    </xdr:sp>
    <xdr:clientData/>
  </xdr:oneCellAnchor>
  <xdr:oneCellAnchor>
    <xdr:from>
      <xdr:col>6</xdr:col>
      <xdr:colOff>308593</xdr:colOff>
      <xdr:row>4</xdr:row>
      <xdr:rowOff>197310</xdr:rowOff>
    </xdr:from>
    <xdr:ext cx="1639168" cy="374077"/>
    <xdr:sp macro="" textlink="">
      <xdr:nvSpPr>
        <xdr:cNvPr id="27" name="TextBox 26">
          <a:extLst>
            <a:ext uri="{FF2B5EF4-FFF2-40B4-BE49-F238E27FC236}">
              <a16:creationId xmlns:a16="http://schemas.microsoft.com/office/drawing/2014/main" id="{8F8FBC38-39AF-B0BB-D31D-A08C52608425}"/>
            </a:ext>
          </a:extLst>
        </xdr:cNvPr>
        <xdr:cNvSpPr txBox="1"/>
      </xdr:nvSpPr>
      <xdr:spPr>
        <a:xfrm>
          <a:off x="4697713" y="989790"/>
          <a:ext cx="1639168"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1800">
              <a:solidFill>
                <a:schemeClr val="accent6">
                  <a:lumMod val="20000"/>
                  <a:lumOff val="80000"/>
                </a:schemeClr>
              </a:solidFill>
              <a:latin typeface="Aptos" panose="020B0004020202020204" pitchFamily="34" charset="0"/>
            </a:rPr>
            <a:t>Avg.</a:t>
          </a:r>
          <a:r>
            <a:rPr lang="en-IN" sz="1800" baseline="0">
              <a:solidFill>
                <a:schemeClr val="accent6">
                  <a:lumMod val="20000"/>
                  <a:lumOff val="80000"/>
                </a:schemeClr>
              </a:solidFill>
              <a:latin typeface="Aptos" panose="020B0004020202020204" pitchFamily="34" charset="0"/>
            </a:rPr>
            <a:t> Wait Time</a:t>
          </a:r>
          <a:endParaRPr lang="en-IN" sz="1800">
            <a:solidFill>
              <a:schemeClr val="accent6">
                <a:lumMod val="20000"/>
                <a:lumOff val="80000"/>
              </a:schemeClr>
            </a:solidFill>
            <a:latin typeface="Aptos" panose="020B0004020202020204" pitchFamily="34" charset="0"/>
          </a:endParaRPr>
        </a:p>
      </xdr:txBody>
    </xdr:sp>
    <xdr:clientData/>
  </xdr:oneCellAnchor>
  <xdr:oneCellAnchor>
    <xdr:from>
      <xdr:col>9</xdr:col>
      <xdr:colOff>76524</xdr:colOff>
      <xdr:row>5</xdr:row>
      <xdr:rowOff>6810</xdr:rowOff>
    </xdr:from>
    <xdr:ext cx="2133790" cy="374077"/>
    <xdr:sp macro="" textlink="">
      <xdr:nvSpPr>
        <xdr:cNvPr id="28" name="TextBox 27">
          <a:extLst>
            <a:ext uri="{FF2B5EF4-FFF2-40B4-BE49-F238E27FC236}">
              <a16:creationId xmlns:a16="http://schemas.microsoft.com/office/drawing/2014/main" id="{F4C348D5-9120-3EF7-13A1-68C79F546E07}"/>
            </a:ext>
          </a:extLst>
        </xdr:cNvPr>
        <xdr:cNvSpPr txBox="1"/>
      </xdr:nvSpPr>
      <xdr:spPr>
        <a:xfrm>
          <a:off x="6660204" y="997410"/>
          <a:ext cx="2133790"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1800">
              <a:solidFill>
                <a:schemeClr val="accent6">
                  <a:lumMod val="20000"/>
                  <a:lumOff val="80000"/>
                </a:schemeClr>
              </a:solidFill>
              <a:latin typeface="Aptos" panose="020B0004020202020204" pitchFamily="34" charset="0"/>
            </a:rPr>
            <a:t>Patient</a:t>
          </a:r>
          <a:r>
            <a:rPr lang="en-IN" sz="1800" baseline="0">
              <a:solidFill>
                <a:schemeClr val="accent6">
                  <a:lumMod val="20000"/>
                  <a:lumOff val="80000"/>
                </a:schemeClr>
              </a:solidFill>
              <a:latin typeface="Aptos" panose="020B0004020202020204" pitchFamily="34" charset="0"/>
            </a:rPr>
            <a:t> Satisfaction</a:t>
          </a:r>
          <a:endParaRPr lang="en-IN" sz="1800">
            <a:solidFill>
              <a:schemeClr val="accent6">
                <a:lumMod val="20000"/>
                <a:lumOff val="80000"/>
              </a:schemeClr>
            </a:solidFill>
            <a:latin typeface="Aptos" panose="020B0004020202020204" pitchFamily="34" charset="0"/>
          </a:endParaRPr>
        </a:p>
      </xdr:txBody>
    </xdr:sp>
    <xdr:clientData/>
  </xdr:oneCellAnchor>
  <xdr:oneCellAnchor>
    <xdr:from>
      <xdr:col>6</xdr:col>
      <xdr:colOff>715172</xdr:colOff>
      <xdr:row>6</xdr:row>
      <xdr:rowOff>44910</xdr:rowOff>
    </xdr:from>
    <xdr:ext cx="743793" cy="374077"/>
    <xdr:sp macro="" textlink="Data!B5">
      <xdr:nvSpPr>
        <xdr:cNvPr id="29" name="TextBox 28">
          <a:extLst>
            <a:ext uri="{FF2B5EF4-FFF2-40B4-BE49-F238E27FC236}">
              <a16:creationId xmlns:a16="http://schemas.microsoft.com/office/drawing/2014/main" id="{D6C231FE-F1BE-B2AE-8817-F7CB97378D3B}"/>
            </a:ext>
          </a:extLst>
        </xdr:cNvPr>
        <xdr:cNvSpPr txBox="1"/>
      </xdr:nvSpPr>
      <xdr:spPr>
        <a:xfrm>
          <a:off x="5104292" y="1233630"/>
          <a:ext cx="743793"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C113A4A9-3F82-423D-BE70-AB82C8D08E3C}" type="TxLink">
            <a:rPr lang="en-US" sz="1800" b="0" i="0" u="none" strike="noStrike">
              <a:solidFill>
                <a:schemeClr val="accent6">
                  <a:lumMod val="20000"/>
                  <a:lumOff val="80000"/>
                </a:schemeClr>
              </a:solidFill>
              <a:latin typeface="Aptos" panose="020B0004020202020204" pitchFamily="34" charset="0"/>
            </a:rPr>
            <a:pPr algn="ctr"/>
            <a:t>34.83</a:t>
          </a:fld>
          <a:endParaRPr lang="en-IN" sz="1800">
            <a:solidFill>
              <a:schemeClr val="accent6">
                <a:lumMod val="20000"/>
                <a:lumOff val="80000"/>
              </a:schemeClr>
            </a:solidFill>
            <a:latin typeface="Aptos" panose="020B0004020202020204" pitchFamily="34" charset="0"/>
          </a:endParaRPr>
        </a:p>
      </xdr:txBody>
    </xdr:sp>
    <xdr:clientData/>
  </xdr:oneCellAnchor>
  <xdr:oneCellAnchor>
    <xdr:from>
      <xdr:col>10</xdr:col>
      <xdr:colOff>35442</xdr:colOff>
      <xdr:row>6</xdr:row>
      <xdr:rowOff>83010</xdr:rowOff>
    </xdr:from>
    <xdr:ext cx="620490" cy="374077"/>
    <xdr:sp macro="" textlink="Data!B8">
      <xdr:nvSpPr>
        <xdr:cNvPr id="30" name="TextBox 29">
          <a:extLst>
            <a:ext uri="{FF2B5EF4-FFF2-40B4-BE49-F238E27FC236}">
              <a16:creationId xmlns:a16="http://schemas.microsoft.com/office/drawing/2014/main" id="{1C38B77F-C00E-4C4F-960C-359C3BF3BB9C}"/>
            </a:ext>
          </a:extLst>
        </xdr:cNvPr>
        <xdr:cNvSpPr txBox="1"/>
      </xdr:nvSpPr>
      <xdr:spPr>
        <a:xfrm>
          <a:off x="7350642" y="1271730"/>
          <a:ext cx="620490"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DEE7F829-ADA0-4F29-9132-A1B2D8FFA7A7}" type="TxLink">
            <a:rPr lang="en-US" sz="1800" b="0" i="0" u="none" strike="noStrike">
              <a:solidFill>
                <a:schemeClr val="accent6">
                  <a:lumMod val="20000"/>
                  <a:lumOff val="80000"/>
                </a:schemeClr>
              </a:solidFill>
              <a:latin typeface="Aptos" panose="020B0004020202020204" pitchFamily="34" charset="0"/>
            </a:rPr>
            <a:pPr algn="ctr"/>
            <a:t>4.71</a:t>
          </a:fld>
          <a:endParaRPr lang="en-IN" sz="1800">
            <a:solidFill>
              <a:schemeClr val="accent6">
                <a:lumMod val="20000"/>
                <a:lumOff val="80000"/>
              </a:schemeClr>
            </a:solidFill>
            <a:latin typeface="Aptos" panose="020B0004020202020204" pitchFamily="34" charset="0"/>
          </a:endParaRPr>
        </a:p>
      </xdr:txBody>
    </xdr:sp>
    <xdr:clientData/>
  </xdr:oneCellAnchor>
  <xdr:twoCellAnchor editAs="oneCell">
    <xdr:from>
      <xdr:col>8</xdr:col>
      <xdr:colOff>160020</xdr:colOff>
      <xdr:row>1</xdr:row>
      <xdr:rowOff>60961</xdr:rowOff>
    </xdr:from>
    <xdr:to>
      <xdr:col>11</xdr:col>
      <xdr:colOff>647700</xdr:colOff>
      <xdr:row>3</xdr:row>
      <xdr:rowOff>129540</xdr:rowOff>
    </xdr:to>
    <mc:AlternateContent xmlns:mc="http://schemas.openxmlformats.org/markup-compatibility/2006" xmlns:a14="http://schemas.microsoft.com/office/drawing/2010/main">
      <mc:Choice Requires="a14">
        <xdr:graphicFrame macro="">
          <xdr:nvGraphicFramePr>
            <xdr:cNvPr id="32" name="Date (Year)">
              <a:extLst>
                <a:ext uri="{FF2B5EF4-FFF2-40B4-BE49-F238E27FC236}">
                  <a16:creationId xmlns:a16="http://schemas.microsoft.com/office/drawing/2014/main" id="{673482E3-583C-4AFF-8746-E6FFC7F22959}"/>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6012180" y="259081"/>
              <a:ext cx="2682240" cy="464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175260</xdr:colOff>
      <xdr:row>5</xdr:row>
      <xdr:rowOff>68580</xdr:rowOff>
    </xdr:from>
    <xdr:to>
      <xdr:col>1</xdr:col>
      <xdr:colOff>693420</xdr:colOff>
      <xdr:row>24</xdr:row>
      <xdr:rowOff>144780</xdr:rowOff>
    </xdr:to>
    <mc:AlternateContent xmlns:mc="http://schemas.openxmlformats.org/markup-compatibility/2006" xmlns:a14="http://schemas.microsoft.com/office/drawing/2010/main">
      <mc:Choice Requires="a14">
        <xdr:graphicFrame macro="">
          <xdr:nvGraphicFramePr>
            <xdr:cNvPr id="33" name="Date (Month)">
              <a:extLst>
                <a:ext uri="{FF2B5EF4-FFF2-40B4-BE49-F238E27FC236}">
                  <a16:creationId xmlns:a16="http://schemas.microsoft.com/office/drawing/2014/main" id="{146E973F-944C-4737-9CEC-C771CED5ED73}"/>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75260" y="1059180"/>
              <a:ext cx="1249680" cy="3840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137160</xdr:colOff>
      <xdr:row>6</xdr:row>
      <xdr:rowOff>144780</xdr:rowOff>
    </xdr:from>
    <xdr:to>
      <xdr:col>5</xdr:col>
      <xdr:colOff>205740</xdr:colOff>
      <xdr:row>10</xdr:row>
      <xdr:rowOff>15240</xdr:rowOff>
    </xdr:to>
    <xdr:graphicFrame macro="">
      <xdr:nvGraphicFramePr>
        <xdr:cNvPr id="15" name="Chart 14">
          <a:hlinkClick xmlns:r="http://schemas.openxmlformats.org/officeDocument/2006/relationships" r:id="rId9"/>
          <a:extLst>
            <a:ext uri="{FF2B5EF4-FFF2-40B4-BE49-F238E27FC236}">
              <a16:creationId xmlns:a16="http://schemas.microsoft.com/office/drawing/2014/main" id="{119CC859-035A-4C0E-BB4F-9A21BD6B75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266700</xdr:colOff>
      <xdr:row>7</xdr:row>
      <xdr:rowOff>7620</xdr:rowOff>
    </xdr:from>
    <xdr:to>
      <xdr:col>8</xdr:col>
      <xdr:colOff>601980</xdr:colOff>
      <xdr:row>10</xdr:row>
      <xdr:rowOff>129540</xdr:rowOff>
    </xdr:to>
    <xdr:graphicFrame macro="">
      <xdr:nvGraphicFramePr>
        <xdr:cNvPr id="3" name="Chart 2">
          <a:hlinkClick xmlns:r="http://schemas.openxmlformats.org/officeDocument/2006/relationships" r:id="rId11"/>
          <a:extLst>
            <a:ext uri="{FF2B5EF4-FFF2-40B4-BE49-F238E27FC236}">
              <a16:creationId xmlns:a16="http://schemas.microsoft.com/office/drawing/2014/main" id="{5568E062-9BF5-491B-88C2-117922ABE9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464820</xdr:colOff>
      <xdr:row>7</xdr:row>
      <xdr:rowOff>22860</xdr:rowOff>
    </xdr:from>
    <xdr:to>
      <xdr:col>11</xdr:col>
      <xdr:colOff>662940</xdr:colOff>
      <xdr:row>10</xdr:row>
      <xdr:rowOff>129540</xdr:rowOff>
    </xdr:to>
    <xdr:graphicFrame macro="">
      <xdr:nvGraphicFramePr>
        <xdr:cNvPr id="25" name="Chart 24">
          <a:hlinkClick xmlns:r="http://schemas.openxmlformats.org/officeDocument/2006/relationships" r:id="rId13"/>
          <a:extLst>
            <a:ext uri="{FF2B5EF4-FFF2-40B4-BE49-F238E27FC236}">
              <a16:creationId xmlns:a16="http://schemas.microsoft.com/office/drawing/2014/main" id="{F77DCE56-C520-4A8C-BA62-54B1BBEF9E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708659</xdr:colOff>
          <xdr:row>10</xdr:row>
          <xdr:rowOff>121920</xdr:rowOff>
        </xdr:from>
        <xdr:to>
          <xdr:col>11</xdr:col>
          <xdr:colOff>597156</xdr:colOff>
          <xdr:row>14</xdr:row>
          <xdr:rowOff>91440</xdr:rowOff>
        </xdr:to>
        <xdr:pic>
          <xdr:nvPicPr>
            <xdr:cNvPr id="39" name="Picture 38">
              <a:extLst>
                <a:ext uri="{FF2B5EF4-FFF2-40B4-BE49-F238E27FC236}">
                  <a16:creationId xmlns:a16="http://schemas.microsoft.com/office/drawing/2014/main" id="{D7BC3DF6-78F1-2FC8-7692-B384FC1D2A51}"/>
                </a:ext>
              </a:extLst>
            </xdr:cNvPr>
            <xdr:cNvPicPr>
              <a:picLocks noChangeAspect="1" noChangeArrowheads="1"/>
              <a:extLst>
                <a:ext uri="{84589F7E-364E-4C9E-8A38-B11213B215E9}">
                  <a14:cameraTool cellRange="Data!$A$25:$E$27" spid="_x0000_s2065"/>
                </a:ext>
              </a:extLst>
            </xdr:cNvPicPr>
          </xdr:nvPicPr>
          <xdr:blipFill>
            <a:blip xmlns:r="http://schemas.openxmlformats.org/officeDocument/2006/relationships" r:embed="rId15"/>
            <a:srcRect/>
            <a:stretch>
              <a:fillRect/>
            </a:stretch>
          </xdr:blipFill>
          <xdr:spPr bwMode="auto">
            <a:xfrm>
              <a:off x="2171699" y="2103120"/>
              <a:ext cx="6472177" cy="762000"/>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xdr:twoCellAnchor>
    <xdr:from>
      <xdr:col>2</xdr:col>
      <xdr:colOff>190500</xdr:colOff>
      <xdr:row>14</xdr:row>
      <xdr:rowOff>152400</xdr:rowOff>
    </xdr:from>
    <xdr:to>
      <xdr:col>12</xdr:col>
      <xdr:colOff>7620</xdr:colOff>
      <xdr:row>23</xdr:row>
      <xdr:rowOff>167640</xdr:rowOff>
    </xdr:to>
    <xdr:graphicFrame macro="">
      <xdr:nvGraphicFramePr>
        <xdr:cNvPr id="12" name="Chart 11">
          <a:extLst>
            <a:ext uri="{FF2B5EF4-FFF2-40B4-BE49-F238E27FC236}">
              <a16:creationId xmlns:a16="http://schemas.microsoft.com/office/drawing/2014/main" id="{87EE2751-74E1-4E91-A536-802D4B98BD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5</xdr:col>
      <xdr:colOff>155187</xdr:colOff>
      <xdr:row>23</xdr:row>
      <xdr:rowOff>68143</xdr:rowOff>
    </xdr:from>
    <xdr:ext cx="2707984" cy="342851"/>
    <xdr:sp macro="" textlink="">
      <xdr:nvSpPr>
        <xdr:cNvPr id="14" name="TextBox 13">
          <a:extLst>
            <a:ext uri="{FF2B5EF4-FFF2-40B4-BE49-F238E27FC236}">
              <a16:creationId xmlns:a16="http://schemas.microsoft.com/office/drawing/2014/main" id="{645433C0-6DC8-7F1B-EB5A-4E850724E339}"/>
            </a:ext>
          </a:extLst>
        </xdr:cNvPr>
        <xdr:cNvSpPr txBox="1"/>
      </xdr:nvSpPr>
      <xdr:spPr>
        <a:xfrm>
          <a:off x="3812787" y="4624903"/>
          <a:ext cx="2707984"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1600">
              <a:solidFill>
                <a:schemeClr val="accent6">
                  <a:lumMod val="20000"/>
                  <a:lumOff val="80000"/>
                </a:schemeClr>
              </a:solidFill>
              <a:latin typeface="Aptos" panose="020B0004020202020204" pitchFamily="34" charset="0"/>
            </a:rPr>
            <a:t>No. of Patients by Age Group</a:t>
          </a:r>
        </a:p>
      </xdr:txBody>
    </xdr:sp>
    <xdr:clientData/>
  </xdr:oneCellAnchor>
  <xdr:twoCellAnchor>
    <xdr:from>
      <xdr:col>11</xdr:col>
      <xdr:colOff>449580</xdr:colOff>
      <xdr:row>0</xdr:row>
      <xdr:rowOff>152400</xdr:rowOff>
    </xdr:from>
    <xdr:to>
      <xdr:col>15</xdr:col>
      <xdr:colOff>312420</xdr:colOff>
      <xdr:row>8</xdr:row>
      <xdr:rowOff>99060</xdr:rowOff>
    </xdr:to>
    <xdr:graphicFrame macro="">
      <xdr:nvGraphicFramePr>
        <xdr:cNvPr id="16" name="Chart 15">
          <a:extLst>
            <a:ext uri="{FF2B5EF4-FFF2-40B4-BE49-F238E27FC236}">
              <a16:creationId xmlns:a16="http://schemas.microsoft.com/office/drawing/2014/main" id="{B7783795-72F2-4484-B528-E2F093CF6E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167640</xdr:colOff>
      <xdr:row>0</xdr:row>
      <xdr:rowOff>152400</xdr:rowOff>
    </xdr:from>
    <xdr:to>
      <xdr:col>17</xdr:col>
      <xdr:colOff>723900</xdr:colOff>
      <xdr:row>8</xdr:row>
      <xdr:rowOff>144780</xdr:rowOff>
    </xdr:to>
    <xdr:graphicFrame macro="">
      <xdr:nvGraphicFramePr>
        <xdr:cNvPr id="18" name="Chart 17">
          <a:extLst>
            <a:ext uri="{FF2B5EF4-FFF2-40B4-BE49-F238E27FC236}">
              <a16:creationId xmlns:a16="http://schemas.microsoft.com/office/drawing/2014/main" id="{C5C6F954-ACA9-485C-BDB3-2D9B31365F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12</xdr:col>
      <xdr:colOff>198120</xdr:colOff>
      <xdr:row>8</xdr:row>
      <xdr:rowOff>129540</xdr:rowOff>
    </xdr:from>
    <xdr:to>
      <xdr:col>18</xdr:col>
      <xdr:colOff>396240</xdr:colOff>
      <xdr:row>24</xdr:row>
      <xdr:rowOff>160020</xdr:rowOff>
    </xdr:to>
    <xdr:graphicFrame macro="">
      <xdr:nvGraphicFramePr>
        <xdr:cNvPr id="22" name="Chart 21">
          <a:extLst>
            <a:ext uri="{FF2B5EF4-FFF2-40B4-BE49-F238E27FC236}">
              <a16:creationId xmlns:a16="http://schemas.microsoft.com/office/drawing/2014/main" id="{9DEDA426-5135-4359-944D-AB7F4D0444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3.834099884261" createdVersion="5" refreshedVersion="8" minRefreshableVersion="3" recordCount="0" supportSubquery="1" supportAdvancedDrill="1" xr:uid="{70A45A4A-438F-4DB0-9180-1F1B76A7C9DD}">
  <cacheSource type="external" connectionId="3"/>
  <cacheFields count="3">
    <cacheField name="[Measures].[Count of Patient_ID]" caption="Count of Patient_ID" numFmtId="0" hierarchy="21" level="32767"/>
    <cacheField name="[Date].[Date (Month)].[Date (Month)]" caption="Date (Month)" numFmtId="0" hierarchy="3" level="1">
      <sharedItems containsSemiMixedTypes="0" containsNonDate="0" containsString="0"/>
    </cacheField>
    <cacheField name="[Date].[Date (Year)].[Date (Year)]" caption="Date (Year)" numFmtId="0" hierarchy="1" level="1">
      <sharedItems containsSemiMixedTypes="0" containsNonDate="0" containsString="0"/>
    </cacheField>
  </cacheFields>
  <cacheHierarchies count="36">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2" memberValueDatatype="130" unbalanced="0">
      <fieldsUsage count="2">
        <fieldUsage x="-1"/>
        <fieldUsage x="2"/>
      </fieldsUsage>
    </cacheHierarchy>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2" memberValueDatatype="130" unbalanced="0">
      <fieldsUsage count="2">
        <fieldUsage x="-1"/>
        <fieldUsage x="1"/>
      </fieldsUsage>
    </cacheHierarchy>
    <cacheHierarchy uniqueName="[Raw Data].[Patient_ID]" caption="Patient_ID" attribute="1" defaultMemberUniqueName="[Raw Data].[Patient_ID].[All]" allUniqueName="[Raw Data].[Patient_ID].[All]" dimensionUniqueName="[Raw Data]" displayFolder="" count="0" memberValueDatatype="130" unbalanced="0"/>
    <cacheHierarchy uniqueName="[Raw Data].[Admission_Date]" caption="Admission_Date" attribute="1" time="1" defaultMemberUniqueName="[Raw Data].[Admission_Date].[All]" allUniqueName="[Raw Data].[Admission_Date].[All]" dimensionUniqueName="[Raw Data]" displayFolder="" count="0" memberValueDatatype="7" unbalanced="0"/>
    <cacheHierarchy uniqueName="[Raw Data].[First_Name]" caption="First_Name" attribute="1" defaultMemberUniqueName="[Raw Data].[First_Name].[All]" allUniqueName="[Raw Data].[First_Name].[All]" dimensionUniqueName="[Raw Data]" displayFolder="" count="0" memberValueDatatype="130" unbalanced="0"/>
    <cacheHierarchy uniqueName="[Raw Data].[Last_Name]" caption="Last_Name" attribute="1" defaultMemberUniqueName="[Raw Data].[Last_Name].[All]" allUniqueName="[Raw Data].[Last_Name].[All]" dimensionUniqueName="[Raw Data]" displayFolder="" count="0" memberValueDatatype="130" unbalanced="0"/>
    <cacheHierarchy uniqueName="[Raw Data].[Gender]" caption="Gender" attribute="1" defaultMemberUniqueName="[Raw Data].[Gender].[All]" allUniqueName="[Raw Data].[Gender].[All]" dimensionUniqueName="[Raw Data]" displayFolder="" count="0" memberValueDatatype="130" unbalanced="0"/>
    <cacheHierarchy uniqueName="[Raw Data].[Age]" caption="Age" attribute="1" defaultMemberUniqueName="[Raw Data].[Age].[All]" allUniqueName="[Raw Data].[Age].[All]" dimensionUniqueName="[Raw Data]" displayFolder="" count="0" memberValueDatatype="20" unbalanced="0"/>
    <cacheHierarchy uniqueName="[Raw Data].[Race]" caption="Race" attribute="1" defaultMemberUniqueName="[Raw Data].[Race].[All]" allUniqueName="[Raw Data].[Race].[All]" dimensionUniqueName="[Raw Data]" displayFolder="" count="0" memberValueDatatype="130" unbalanced="0"/>
    <cacheHierarchy uniqueName="[Raw Data].[Departmental_Referral]" caption="Departmental_Referral" attribute="1" defaultMemberUniqueName="[Raw Data].[Departmental_Referral].[All]" allUniqueName="[Raw Data].[Departmental_Referral].[All]" dimensionUniqueName="[Raw Data]" displayFolder="" count="0" memberValueDatatype="130" unbalanced="0"/>
    <cacheHierarchy uniqueName="[Raw Data].[Admission_Flag]" caption="Admission_Flag" attribute="1" defaultMemberUniqueName="[Raw Data].[Admission_Flag].[All]" allUniqueName="[Raw Data].[Admission_Flag].[All]" dimensionUniqueName="[Raw Data]" displayFolder="" count="0" memberValueDatatype="130" unbalanced="0"/>
    <cacheHierarchy uniqueName="[Raw Data].[Satisfaction_Score]" caption="Satisfaction_Score" attribute="1" defaultMemberUniqueName="[Raw Data].[Satisfaction_Score].[All]" allUniqueName="[Raw Data].[Satisfaction_Score].[All]" dimensionUniqueName="[Raw Data]" displayFolder="" count="0" memberValueDatatype="20" unbalanced="0"/>
    <cacheHierarchy uniqueName="[Raw Data].[Wait_Time]" caption="Wait_Time" attribute="1" defaultMemberUniqueName="[Raw Data].[Wait_Time].[All]" allUniqueName="[Raw Data].[Wait_Time].[All]" dimensionUniqueName="[Raw Data]" displayFolder="" count="0" memberValueDatatype="20" unbalanced="0"/>
    <cacheHierarchy uniqueName="[Raw Data].[Age Group]" caption="Age Group" attribute="1" defaultMemberUniqueName="[Raw Data].[Age Group].[All]" allUniqueName="[Raw Data].[Age Group].[All]" dimensionUniqueName="[Raw Data]" displayFolder="" count="0" memberValueDatatype="130" unbalanced="0"/>
    <cacheHierarchy uniqueName="[Raw Data].[Patient Attend Time]" caption="Patient Attend Time" attribute="1" defaultMemberUniqueName="[Raw Data].[Patient Attend Time].[All]" allUniqueName="[Raw Data].[Patient Attend Time].[All]" dimensionUniqueName="[Raw Data]"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__XL_Count Raw Data]" caption="__XL_Count Raw Data" measure="1" displayFolder="" measureGroup="Raw 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Patient_ID]" caption="Count of Patient_ID" measure="1" displayFolder="" measureGroup="Raw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Wait_Time]" caption="Sum of Wait_Time" measure="1" displayFolder="" measureGroup="Raw Data" count="0" hidden="1">
      <extLst>
        <ext xmlns:x15="http://schemas.microsoft.com/office/spreadsheetml/2010/11/main" uri="{B97F6D7D-B522-45F9-BDA1-12C45D357490}">
          <x15:cacheHierarchy aggregatedColumn="14"/>
        </ext>
      </extLst>
    </cacheHierarchy>
    <cacheHierarchy uniqueName="[Measures].[Average of Wait_Time]" caption="Average of Wait_Time" measure="1" displayFolder="" measureGroup="Raw Data" count="0" hidden="1">
      <extLst>
        <ext xmlns:x15="http://schemas.microsoft.com/office/spreadsheetml/2010/11/main" uri="{B97F6D7D-B522-45F9-BDA1-12C45D357490}">
          <x15:cacheHierarchy aggregatedColumn="14"/>
        </ext>
      </extLst>
    </cacheHierarchy>
    <cacheHierarchy uniqueName="[Measures].[Sum of Satisfaction_Score]" caption="Sum of Satisfaction_Score" measure="1" displayFolder="" measureGroup="Raw Data" count="0" hidden="1">
      <extLst>
        <ext xmlns:x15="http://schemas.microsoft.com/office/spreadsheetml/2010/11/main" uri="{B97F6D7D-B522-45F9-BDA1-12C45D357490}">
          <x15:cacheHierarchy aggregatedColumn="13"/>
        </ext>
      </extLst>
    </cacheHierarchy>
    <cacheHierarchy uniqueName="[Measures].[Average of Satisfaction_Score]" caption="Average of Satisfaction_Score" measure="1" displayFolder="" measureGroup="Raw Data" count="0" hidden="1">
      <extLst>
        <ext xmlns:x15="http://schemas.microsoft.com/office/spreadsheetml/2010/11/main" uri="{B97F6D7D-B522-45F9-BDA1-12C45D357490}">
          <x15:cacheHierarchy aggregatedColumn="13"/>
        </ext>
      </extLst>
    </cacheHierarchy>
    <cacheHierarchy uniqueName="[Measures].[Count of Date (Year)]" caption="Count of Date (Year)" measure="1" displayFolder="" measureGroup="Date" count="0" hidden="1">
      <extLst>
        <ext xmlns:x15="http://schemas.microsoft.com/office/spreadsheetml/2010/11/main" uri="{B97F6D7D-B522-45F9-BDA1-12C45D357490}">
          <x15:cacheHierarchy aggregatedColumn="1"/>
        </ext>
      </extLst>
    </cacheHierarchy>
    <cacheHierarchy uniqueName="[Measures].[Count of Date (Quarter)]" caption="Count of Date (Quarter)" measure="1" displayFolder="" measureGroup="Date" count="0" hidden="1">
      <extLst>
        <ext xmlns:x15="http://schemas.microsoft.com/office/spreadsheetml/2010/11/main" uri="{B97F6D7D-B522-45F9-BDA1-12C45D357490}">
          <x15:cacheHierarchy aggregatedColumn="2"/>
        </ext>
      </extLst>
    </cacheHierarchy>
    <cacheHierarchy uniqueName="[Measures].[Count of Date (Month)]" caption="Count of Date (Month)" measure="1" displayFolder="" measureGroup="Date" count="0" hidden="1">
      <extLst>
        <ext xmlns:x15="http://schemas.microsoft.com/office/spreadsheetml/2010/11/main" uri="{B97F6D7D-B522-45F9-BDA1-12C45D357490}">
          <x15:cacheHierarchy aggregatedColumn="3"/>
        </ext>
      </extLst>
    </cacheHierarchy>
    <cacheHierarchy uniqueName="[Measures].[Count of Date]" caption="Count of Date" measure="1" displayFolder="" measureGroup="Date" count="0" hidden="1">
      <extLst>
        <ext xmlns:x15="http://schemas.microsoft.com/office/spreadsheetml/2010/11/main" uri="{B97F6D7D-B522-45F9-BDA1-12C45D357490}">
          <x15:cacheHierarchy aggregatedColumn="0"/>
        </ext>
      </extLst>
    </cacheHierarchy>
    <cacheHierarchy uniqueName="[Measures].[Count of Patient Attend Time]" caption="Count of Patient Attend Time" measure="1" displayFolder="" measureGroup="Raw Data" count="0" hidden="1">
      <extLst>
        <ext xmlns:x15="http://schemas.microsoft.com/office/spreadsheetml/2010/11/main" uri="{B97F6D7D-B522-45F9-BDA1-12C45D357490}">
          <x15:cacheHierarchy aggregatedColumn="16"/>
        </ext>
      </extLst>
    </cacheHierarchy>
    <cacheHierarchy uniqueName="[Measures].[Count of Admission_Flag]" caption="Count of Admission_Flag" measure="1" displayFolder="" measureGroup="Raw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Raw Data"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Raw Data" count="0" hidden="1">
      <extLst>
        <ext xmlns:x15="http://schemas.microsoft.com/office/spreadsheetml/2010/11/main" uri="{B97F6D7D-B522-45F9-BDA1-12C45D357490}">
          <x15:cacheHierarchy aggregatedColumn="9"/>
        </ext>
      </extLst>
    </cacheHierarchy>
    <cacheHierarchy uniqueName="[Measures].[Count of Gender]" caption="Count of Gender" measure="1" displayFolder="" measureGroup="Raw Data" count="0" hidden="1">
      <extLst>
        <ext xmlns:x15="http://schemas.microsoft.com/office/spreadsheetml/2010/11/main" uri="{B97F6D7D-B522-45F9-BDA1-12C45D357490}">
          <x15:cacheHierarchy aggregatedColumn="8"/>
        </ext>
      </extLst>
    </cacheHierarchy>
    <cacheHierarchy uniqueName="[Measures].[Count of Departmental_Referral]" caption="Count of Departmental_Referral" measure="1" displayFolder="" measureGroup="Raw Data" count="0" hidden="1">
      <extLst>
        <ext xmlns:x15="http://schemas.microsoft.com/office/spreadsheetml/2010/11/main" uri="{B97F6D7D-B522-45F9-BDA1-12C45D357490}">
          <x15:cacheHierarchy aggregatedColumn="11"/>
        </ext>
      </extLst>
    </cacheHierarchy>
  </cacheHierarchies>
  <kpis count="0"/>
  <dimensions count="3">
    <dimension name="Date" uniqueName="[Date]" caption="Date"/>
    <dimension measure="1" name="Measures" uniqueName="[Measures]" caption="Measures"/>
    <dimension name="Raw Data" uniqueName="[Raw Data]" caption="Raw Data"/>
  </dimensions>
  <measureGroups count="2">
    <measureGroup name="Date" caption="Date"/>
    <measureGroup name="Raw Data" caption="Raw 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3.834101157408" createdVersion="5" refreshedVersion="8" minRefreshableVersion="3" recordCount="0" supportSubquery="1" supportAdvancedDrill="1" xr:uid="{7EB524AB-4375-4F0B-A076-A5E697226BB6}">
  <cacheSource type="external" connectionId="3"/>
  <cacheFields count="3">
    <cacheField name="[Measures].[Average of Wait_Time]" caption="Average of Wait_Time" numFmtId="0" hierarchy="23" level="32767"/>
    <cacheField name="[Date].[Date (Month)].[Date (Month)]" caption="Date (Month)" numFmtId="0" hierarchy="3" level="1">
      <sharedItems containsSemiMixedTypes="0" containsNonDate="0" containsString="0"/>
    </cacheField>
    <cacheField name="[Date].[Date (Year)].[Date (Year)]" caption="Date (Year)" numFmtId="0" hierarchy="1" level="1">
      <sharedItems containsSemiMixedTypes="0" containsNonDate="0" containsString="0"/>
    </cacheField>
  </cacheFields>
  <cacheHierarchies count="36">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2" memberValueDatatype="130" unbalanced="0">
      <fieldsUsage count="2">
        <fieldUsage x="-1"/>
        <fieldUsage x="2"/>
      </fieldsUsage>
    </cacheHierarchy>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2" memberValueDatatype="130" unbalanced="0">
      <fieldsUsage count="2">
        <fieldUsage x="-1"/>
        <fieldUsage x="1"/>
      </fieldsUsage>
    </cacheHierarchy>
    <cacheHierarchy uniqueName="[Raw Data].[Patient_ID]" caption="Patient_ID" attribute="1" defaultMemberUniqueName="[Raw Data].[Patient_ID].[All]" allUniqueName="[Raw Data].[Patient_ID].[All]" dimensionUniqueName="[Raw Data]" displayFolder="" count="0" memberValueDatatype="130" unbalanced="0"/>
    <cacheHierarchy uniqueName="[Raw Data].[Admission_Date]" caption="Admission_Date" attribute="1" time="1" defaultMemberUniqueName="[Raw Data].[Admission_Date].[All]" allUniqueName="[Raw Data].[Admission_Date].[All]" dimensionUniqueName="[Raw Data]" displayFolder="" count="0" memberValueDatatype="7" unbalanced="0"/>
    <cacheHierarchy uniqueName="[Raw Data].[First_Name]" caption="First_Name" attribute="1" defaultMemberUniqueName="[Raw Data].[First_Name].[All]" allUniqueName="[Raw Data].[First_Name].[All]" dimensionUniqueName="[Raw Data]" displayFolder="" count="0" memberValueDatatype="130" unbalanced="0"/>
    <cacheHierarchy uniqueName="[Raw Data].[Last_Name]" caption="Last_Name" attribute="1" defaultMemberUniqueName="[Raw Data].[Last_Name].[All]" allUniqueName="[Raw Data].[Last_Name].[All]" dimensionUniqueName="[Raw Data]" displayFolder="" count="0" memberValueDatatype="130" unbalanced="0"/>
    <cacheHierarchy uniqueName="[Raw Data].[Gender]" caption="Gender" attribute="1" defaultMemberUniqueName="[Raw Data].[Gender].[All]" allUniqueName="[Raw Data].[Gender].[All]" dimensionUniqueName="[Raw Data]" displayFolder="" count="0" memberValueDatatype="130" unbalanced="0"/>
    <cacheHierarchy uniqueName="[Raw Data].[Age]" caption="Age" attribute="1" defaultMemberUniqueName="[Raw Data].[Age].[All]" allUniqueName="[Raw Data].[Age].[All]" dimensionUniqueName="[Raw Data]" displayFolder="" count="0" memberValueDatatype="20" unbalanced="0"/>
    <cacheHierarchy uniqueName="[Raw Data].[Race]" caption="Race" attribute="1" defaultMemberUniqueName="[Raw Data].[Race].[All]" allUniqueName="[Raw Data].[Race].[All]" dimensionUniqueName="[Raw Data]" displayFolder="" count="0" memberValueDatatype="130" unbalanced="0"/>
    <cacheHierarchy uniqueName="[Raw Data].[Departmental_Referral]" caption="Departmental_Referral" attribute="1" defaultMemberUniqueName="[Raw Data].[Departmental_Referral].[All]" allUniqueName="[Raw Data].[Departmental_Referral].[All]" dimensionUniqueName="[Raw Data]" displayFolder="" count="0" memberValueDatatype="130" unbalanced="0"/>
    <cacheHierarchy uniqueName="[Raw Data].[Admission_Flag]" caption="Admission_Flag" attribute="1" defaultMemberUniqueName="[Raw Data].[Admission_Flag].[All]" allUniqueName="[Raw Data].[Admission_Flag].[All]" dimensionUniqueName="[Raw Data]" displayFolder="" count="0" memberValueDatatype="130" unbalanced="0"/>
    <cacheHierarchy uniqueName="[Raw Data].[Satisfaction_Score]" caption="Satisfaction_Score" attribute="1" defaultMemberUniqueName="[Raw Data].[Satisfaction_Score].[All]" allUniqueName="[Raw Data].[Satisfaction_Score].[All]" dimensionUniqueName="[Raw Data]" displayFolder="" count="0" memberValueDatatype="20" unbalanced="0"/>
    <cacheHierarchy uniqueName="[Raw Data].[Wait_Time]" caption="Wait_Time" attribute="1" defaultMemberUniqueName="[Raw Data].[Wait_Time].[All]" allUniqueName="[Raw Data].[Wait_Time].[All]" dimensionUniqueName="[Raw Data]" displayFolder="" count="0" memberValueDatatype="20" unbalanced="0"/>
    <cacheHierarchy uniqueName="[Raw Data].[Age Group]" caption="Age Group" attribute="1" defaultMemberUniqueName="[Raw Data].[Age Group].[All]" allUniqueName="[Raw Data].[Age Group].[All]" dimensionUniqueName="[Raw Data]" displayFolder="" count="0" memberValueDatatype="130" unbalanced="0"/>
    <cacheHierarchy uniqueName="[Raw Data].[Patient Attend Time]" caption="Patient Attend Time" attribute="1" defaultMemberUniqueName="[Raw Data].[Patient Attend Time].[All]" allUniqueName="[Raw Data].[Patient Attend Time].[All]" dimensionUniqueName="[Raw Data]"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__XL_Count Raw Data]" caption="__XL_Count Raw Data" measure="1" displayFolder="" measureGroup="Raw 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Patient_ID]" caption="Count of Patient_ID" measure="1" displayFolder="" measureGroup="Raw Data" count="0" hidden="1">
      <extLst>
        <ext xmlns:x15="http://schemas.microsoft.com/office/spreadsheetml/2010/11/main" uri="{B97F6D7D-B522-45F9-BDA1-12C45D357490}">
          <x15:cacheHierarchy aggregatedColumn="4"/>
        </ext>
      </extLst>
    </cacheHierarchy>
    <cacheHierarchy uniqueName="[Measures].[Sum of Wait_Time]" caption="Sum of Wait_Time" measure="1" displayFolder="" measureGroup="Raw Data" count="0" hidden="1">
      <extLst>
        <ext xmlns:x15="http://schemas.microsoft.com/office/spreadsheetml/2010/11/main" uri="{B97F6D7D-B522-45F9-BDA1-12C45D357490}">
          <x15:cacheHierarchy aggregatedColumn="14"/>
        </ext>
      </extLst>
    </cacheHierarchy>
    <cacheHierarchy uniqueName="[Measures].[Average of Wait_Time]" caption="Average of Wait_Time" measure="1" displayFolder="" measureGroup="Raw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Satisfaction_Score]" caption="Sum of Satisfaction_Score" measure="1" displayFolder="" measureGroup="Raw Data" count="0" hidden="1">
      <extLst>
        <ext xmlns:x15="http://schemas.microsoft.com/office/spreadsheetml/2010/11/main" uri="{B97F6D7D-B522-45F9-BDA1-12C45D357490}">
          <x15:cacheHierarchy aggregatedColumn="13"/>
        </ext>
      </extLst>
    </cacheHierarchy>
    <cacheHierarchy uniqueName="[Measures].[Average of Satisfaction_Score]" caption="Average of Satisfaction_Score" measure="1" displayFolder="" measureGroup="Raw Data" count="0" hidden="1">
      <extLst>
        <ext xmlns:x15="http://schemas.microsoft.com/office/spreadsheetml/2010/11/main" uri="{B97F6D7D-B522-45F9-BDA1-12C45D357490}">
          <x15:cacheHierarchy aggregatedColumn="13"/>
        </ext>
      </extLst>
    </cacheHierarchy>
    <cacheHierarchy uniqueName="[Measures].[Count of Date (Year)]" caption="Count of Date (Year)" measure="1" displayFolder="" measureGroup="Date" count="0" hidden="1">
      <extLst>
        <ext xmlns:x15="http://schemas.microsoft.com/office/spreadsheetml/2010/11/main" uri="{B97F6D7D-B522-45F9-BDA1-12C45D357490}">
          <x15:cacheHierarchy aggregatedColumn="1"/>
        </ext>
      </extLst>
    </cacheHierarchy>
    <cacheHierarchy uniqueName="[Measures].[Count of Date (Quarter)]" caption="Count of Date (Quarter)" measure="1" displayFolder="" measureGroup="Date" count="0" hidden="1">
      <extLst>
        <ext xmlns:x15="http://schemas.microsoft.com/office/spreadsheetml/2010/11/main" uri="{B97F6D7D-B522-45F9-BDA1-12C45D357490}">
          <x15:cacheHierarchy aggregatedColumn="2"/>
        </ext>
      </extLst>
    </cacheHierarchy>
    <cacheHierarchy uniqueName="[Measures].[Count of Date (Month)]" caption="Count of Date (Month)" measure="1" displayFolder="" measureGroup="Date" count="0" hidden="1">
      <extLst>
        <ext xmlns:x15="http://schemas.microsoft.com/office/spreadsheetml/2010/11/main" uri="{B97F6D7D-B522-45F9-BDA1-12C45D357490}">
          <x15:cacheHierarchy aggregatedColumn="3"/>
        </ext>
      </extLst>
    </cacheHierarchy>
    <cacheHierarchy uniqueName="[Measures].[Count of Date]" caption="Count of Date" measure="1" displayFolder="" measureGroup="Date" count="0" hidden="1">
      <extLst>
        <ext xmlns:x15="http://schemas.microsoft.com/office/spreadsheetml/2010/11/main" uri="{B97F6D7D-B522-45F9-BDA1-12C45D357490}">
          <x15:cacheHierarchy aggregatedColumn="0"/>
        </ext>
      </extLst>
    </cacheHierarchy>
    <cacheHierarchy uniqueName="[Measures].[Count of Patient Attend Time]" caption="Count of Patient Attend Time" measure="1" displayFolder="" measureGroup="Raw Data" count="0" hidden="1">
      <extLst>
        <ext xmlns:x15="http://schemas.microsoft.com/office/spreadsheetml/2010/11/main" uri="{B97F6D7D-B522-45F9-BDA1-12C45D357490}">
          <x15:cacheHierarchy aggregatedColumn="16"/>
        </ext>
      </extLst>
    </cacheHierarchy>
    <cacheHierarchy uniqueName="[Measures].[Count of Admission_Flag]" caption="Count of Admission_Flag" measure="1" displayFolder="" measureGroup="Raw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Raw Data"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Raw Data" count="0" hidden="1">
      <extLst>
        <ext xmlns:x15="http://schemas.microsoft.com/office/spreadsheetml/2010/11/main" uri="{B97F6D7D-B522-45F9-BDA1-12C45D357490}">
          <x15:cacheHierarchy aggregatedColumn="9"/>
        </ext>
      </extLst>
    </cacheHierarchy>
    <cacheHierarchy uniqueName="[Measures].[Count of Gender]" caption="Count of Gender" measure="1" displayFolder="" measureGroup="Raw Data" count="0" hidden="1">
      <extLst>
        <ext xmlns:x15="http://schemas.microsoft.com/office/spreadsheetml/2010/11/main" uri="{B97F6D7D-B522-45F9-BDA1-12C45D357490}">
          <x15:cacheHierarchy aggregatedColumn="8"/>
        </ext>
      </extLst>
    </cacheHierarchy>
    <cacheHierarchy uniqueName="[Measures].[Count of Departmental_Referral]" caption="Count of Departmental_Referral" measure="1" displayFolder="" measureGroup="Raw Data" count="0" hidden="1">
      <extLst>
        <ext xmlns:x15="http://schemas.microsoft.com/office/spreadsheetml/2010/11/main" uri="{B97F6D7D-B522-45F9-BDA1-12C45D357490}">
          <x15:cacheHierarchy aggregatedColumn="11"/>
        </ext>
      </extLst>
    </cacheHierarchy>
  </cacheHierarchies>
  <kpis count="0"/>
  <dimensions count="3">
    <dimension name="Date" uniqueName="[Date]" caption="Date"/>
    <dimension measure="1" name="Measures" uniqueName="[Measures]" caption="Measures"/>
    <dimension name="Raw Data" uniqueName="[Raw Data]" caption="Raw Data"/>
  </dimensions>
  <measureGroups count="2">
    <measureGroup name="Date" caption="Date"/>
    <measureGroup name="Raw Data" caption="Raw 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3.834102430556" createdVersion="5" refreshedVersion="8" minRefreshableVersion="3" recordCount="0" supportSubquery="1" supportAdvancedDrill="1" xr:uid="{D5CE6F7F-840D-4BC4-8EE9-148482DCC88F}">
  <cacheSource type="external" connectionId="3"/>
  <cacheFields count="3">
    <cacheField name="[Measures].[Average of Satisfaction_Score]" caption="Average of Satisfaction_Score" numFmtId="0" hierarchy="25" level="32767"/>
    <cacheField name="[Date].[Date (Month)].[Date (Month)]" caption="Date (Month)" numFmtId="0" hierarchy="3" level="1">
      <sharedItems containsSemiMixedTypes="0" containsNonDate="0" containsString="0"/>
    </cacheField>
    <cacheField name="[Date].[Date (Year)].[Date (Year)]" caption="Date (Year)" numFmtId="0" hierarchy="1" level="1">
      <sharedItems containsSemiMixedTypes="0" containsNonDate="0" containsString="0"/>
    </cacheField>
  </cacheFields>
  <cacheHierarchies count="36">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2" memberValueDatatype="130" unbalanced="0">
      <fieldsUsage count="2">
        <fieldUsage x="-1"/>
        <fieldUsage x="2"/>
      </fieldsUsage>
    </cacheHierarchy>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2" memberValueDatatype="130" unbalanced="0">
      <fieldsUsage count="2">
        <fieldUsage x="-1"/>
        <fieldUsage x="1"/>
      </fieldsUsage>
    </cacheHierarchy>
    <cacheHierarchy uniqueName="[Raw Data].[Patient_ID]" caption="Patient_ID" attribute="1" defaultMemberUniqueName="[Raw Data].[Patient_ID].[All]" allUniqueName="[Raw Data].[Patient_ID].[All]" dimensionUniqueName="[Raw Data]" displayFolder="" count="0" memberValueDatatype="130" unbalanced="0"/>
    <cacheHierarchy uniqueName="[Raw Data].[Admission_Date]" caption="Admission_Date" attribute="1" time="1" defaultMemberUniqueName="[Raw Data].[Admission_Date].[All]" allUniqueName="[Raw Data].[Admission_Date].[All]" dimensionUniqueName="[Raw Data]" displayFolder="" count="0" memberValueDatatype="7" unbalanced="0"/>
    <cacheHierarchy uniqueName="[Raw Data].[First_Name]" caption="First_Name" attribute="1" defaultMemberUniqueName="[Raw Data].[First_Name].[All]" allUniqueName="[Raw Data].[First_Name].[All]" dimensionUniqueName="[Raw Data]" displayFolder="" count="0" memberValueDatatype="130" unbalanced="0"/>
    <cacheHierarchy uniqueName="[Raw Data].[Last_Name]" caption="Last_Name" attribute="1" defaultMemberUniqueName="[Raw Data].[Last_Name].[All]" allUniqueName="[Raw Data].[Last_Name].[All]" dimensionUniqueName="[Raw Data]" displayFolder="" count="0" memberValueDatatype="130" unbalanced="0"/>
    <cacheHierarchy uniqueName="[Raw Data].[Gender]" caption="Gender" attribute="1" defaultMemberUniqueName="[Raw Data].[Gender].[All]" allUniqueName="[Raw Data].[Gender].[All]" dimensionUniqueName="[Raw Data]" displayFolder="" count="0" memberValueDatatype="130" unbalanced="0"/>
    <cacheHierarchy uniqueName="[Raw Data].[Age]" caption="Age" attribute="1" defaultMemberUniqueName="[Raw Data].[Age].[All]" allUniqueName="[Raw Data].[Age].[All]" dimensionUniqueName="[Raw Data]" displayFolder="" count="0" memberValueDatatype="20" unbalanced="0"/>
    <cacheHierarchy uniqueName="[Raw Data].[Race]" caption="Race" attribute="1" defaultMemberUniqueName="[Raw Data].[Race].[All]" allUniqueName="[Raw Data].[Race].[All]" dimensionUniqueName="[Raw Data]" displayFolder="" count="0" memberValueDatatype="130" unbalanced="0"/>
    <cacheHierarchy uniqueName="[Raw Data].[Departmental_Referral]" caption="Departmental_Referral" attribute="1" defaultMemberUniqueName="[Raw Data].[Departmental_Referral].[All]" allUniqueName="[Raw Data].[Departmental_Referral].[All]" dimensionUniqueName="[Raw Data]" displayFolder="" count="0" memberValueDatatype="130" unbalanced="0"/>
    <cacheHierarchy uniqueName="[Raw Data].[Admission_Flag]" caption="Admission_Flag" attribute="1" defaultMemberUniqueName="[Raw Data].[Admission_Flag].[All]" allUniqueName="[Raw Data].[Admission_Flag].[All]" dimensionUniqueName="[Raw Data]" displayFolder="" count="0" memberValueDatatype="130" unbalanced="0"/>
    <cacheHierarchy uniqueName="[Raw Data].[Satisfaction_Score]" caption="Satisfaction_Score" attribute="1" defaultMemberUniqueName="[Raw Data].[Satisfaction_Score].[All]" allUniqueName="[Raw Data].[Satisfaction_Score].[All]" dimensionUniqueName="[Raw Data]" displayFolder="" count="0" memberValueDatatype="20" unbalanced="0"/>
    <cacheHierarchy uniqueName="[Raw Data].[Wait_Time]" caption="Wait_Time" attribute="1" defaultMemberUniqueName="[Raw Data].[Wait_Time].[All]" allUniqueName="[Raw Data].[Wait_Time].[All]" dimensionUniqueName="[Raw Data]" displayFolder="" count="0" memberValueDatatype="20" unbalanced="0"/>
    <cacheHierarchy uniqueName="[Raw Data].[Age Group]" caption="Age Group" attribute="1" defaultMemberUniqueName="[Raw Data].[Age Group].[All]" allUniqueName="[Raw Data].[Age Group].[All]" dimensionUniqueName="[Raw Data]" displayFolder="" count="0" memberValueDatatype="130" unbalanced="0"/>
    <cacheHierarchy uniqueName="[Raw Data].[Patient Attend Time]" caption="Patient Attend Time" attribute="1" defaultMemberUniqueName="[Raw Data].[Patient Attend Time].[All]" allUniqueName="[Raw Data].[Patient Attend Time].[All]" dimensionUniqueName="[Raw Data]"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__XL_Count Raw Data]" caption="__XL_Count Raw Data" measure="1" displayFolder="" measureGroup="Raw 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Patient_ID]" caption="Count of Patient_ID" measure="1" displayFolder="" measureGroup="Raw Data" count="0" hidden="1">
      <extLst>
        <ext xmlns:x15="http://schemas.microsoft.com/office/spreadsheetml/2010/11/main" uri="{B97F6D7D-B522-45F9-BDA1-12C45D357490}">
          <x15:cacheHierarchy aggregatedColumn="4"/>
        </ext>
      </extLst>
    </cacheHierarchy>
    <cacheHierarchy uniqueName="[Measures].[Sum of Wait_Time]" caption="Sum of Wait_Time" measure="1" displayFolder="" measureGroup="Raw Data" count="0" hidden="1">
      <extLst>
        <ext xmlns:x15="http://schemas.microsoft.com/office/spreadsheetml/2010/11/main" uri="{B97F6D7D-B522-45F9-BDA1-12C45D357490}">
          <x15:cacheHierarchy aggregatedColumn="14"/>
        </ext>
      </extLst>
    </cacheHierarchy>
    <cacheHierarchy uniqueName="[Measures].[Average of Wait_Time]" caption="Average of Wait_Time" measure="1" displayFolder="" measureGroup="Raw Data" count="0" hidden="1">
      <extLst>
        <ext xmlns:x15="http://schemas.microsoft.com/office/spreadsheetml/2010/11/main" uri="{B97F6D7D-B522-45F9-BDA1-12C45D357490}">
          <x15:cacheHierarchy aggregatedColumn="14"/>
        </ext>
      </extLst>
    </cacheHierarchy>
    <cacheHierarchy uniqueName="[Measures].[Sum of Satisfaction_Score]" caption="Sum of Satisfaction_Score" measure="1" displayFolder="" measureGroup="Raw Data" count="0" hidden="1">
      <extLst>
        <ext xmlns:x15="http://schemas.microsoft.com/office/spreadsheetml/2010/11/main" uri="{B97F6D7D-B522-45F9-BDA1-12C45D357490}">
          <x15:cacheHierarchy aggregatedColumn="13"/>
        </ext>
      </extLst>
    </cacheHierarchy>
    <cacheHierarchy uniqueName="[Measures].[Average of Satisfaction_Score]" caption="Average of Satisfaction_Score" measure="1" displayFolder="" measureGroup="Raw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Date (Year)]" caption="Count of Date (Year)" measure="1" displayFolder="" measureGroup="Date" count="0" hidden="1">
      <extLst>
        <ext xmlns:x15="http://schemas.microsoft.com/office/spreadsheetml/2010/11/main" uri="{B97F6D7D-B522-45F9-BDA1-12C45D357490}">
          <x15:cacheHierarchy aggregatedColumn="1"/>
        </ext>
      </extLst>
    </cacheHierarchy>
    <cacheHierarchy uniqueName="[Measures].[Count of Date (Quarter)]" caption="Count of Date (Quarter)" measure="1" displayFolder="" measureGroup="Date" count="0" hidden="1">
      <extLst>
        <ext xmlns:x15="http://schemas.microsoft.com/office/spreadsheetml/2010/11/main" uri="{B97F6D7D-B522-45F9-BDA1-12C45D357490}">
          <x15:cacheHierarchy aggregatedColumn="2"/>
        </ext>
      </extLst>
    </cacheHierarchy>
    <cacheHierarchy uniqueName="[Measures].[Count of Date (Month)]" caption="Count of Date (Month)" measure="1" displayFolder="" measureGroup="Date" count="0" hidden="1">
      <extLst>
        <ext xmlns:x15="http://schemas.microsoft.com/office/spreadsheetml/2010/11/main" uri="{B97F6D7D-B522-45F9-BDA1-12C45D357490}">
          <x15:cacheHierarchy aggregatedColumn="3"/>
        </ext>
      </extLst>
    </cacheHierarchy>
    <cacheHierarchy uniqueName="[Measures].[Count of Date]" caption="Count of Date" measure="1" displayFolder="" measureGroup="Date" count="0" hidden="1">
      <extLst>
        <ext xmlns:x15="http://schemas.microsoft.com/office/spreadsheetml/2010/11/main" uri="{B97F6D7D-B522-45F9-BDA1-12C45D357490}">
          <x15:cacheHierarchy aggregatedColumn="0"/>
        </ext>
      </extLst>
    </cacheHierarchy>
    <cacheHierarchy uniqueName="[Measures].[Count of Patient Attend Time]" caption="Count of Patient Attend Time" measure="1" displayFolder="" measureGroup="Raw Data" count="0" hidden="1">
      <extLst>
        <ext xmlns:x15="http://schemas.microsoft.com/office/spreadsheetml/2010/11/main" uri="{B97F6D7D-B522-45F9-BDA1-12C45D357490}">
          <x15:cacheHierarchy aggregatedColumn="16"/>
        </ext>
      </extLst>
    </cacheHierarchy>
    <cacheHierarchy uniqueName="[Measures].[Count of Admission_Flag]" caption="Count of Admission_Flag" measure="1" displayFolder="" measureGroup="Raw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Raw Data"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Raw Data" count="0" hidden="1">
      <extLst>
        <ext xmlns:x15="http://schemas.microsoft.com/office/spreadsheetml/2010/11/main" uri="{B97F6D7D-B522-45F9-BDA1-12C45D357490}">
          <x15:cacheHierarchy aggregatedColumn="9"/>
        </ext>
      </extLst>
    </cacheHierarchy>
    <cacheHierarchy uniqueName="[Measures].[Count of Gender]" caption="Count of Gender" measure="1" displayFolder="" measureGroup="Raw Data" count="0" hidden="1">
      <extLst>
        <ext xmlns:x15="http://schemas.microsoft.com/office/spreadsheetml/2010/11/main" uri="{B97F6D7D-B522-45F9-BDA1-12C45D357490}">
          <x15:cacheHierarchy aggregatedColumn="8"/>
        </ext>
      </extLst>
    </cacheHierarchy>
    <cacheHierarchy uniqueName="[Measures].[Count of Departmental_Referral]" caption="Count of Departmental_Referral" measure="1" displayFolder="" measureGroup="Raw Data" count="0" hidden="1">
      <extLst>
        <ext xmlns:x15="http://schemas.microsoft.com/office/spreadsheetml/2010/11/main" uri="{B97F6D7D-B522-45F9-BDA1-12C45D357490}">
          <x15:cacheHierarchy aggregatedColumn="11"/>
        </ext>
      </extLst>
    </cacheHierarchy>
  </cacheHierarchies>
  <kpis count="0"/>
  <dimensions count="3">
    <dimension name="Date" uniqueName="[Date]" caption="Date"/>
    <dimension measure="1" name="Measures" uniqueName="[Measures]" caption="Measures"/>
    <dimension name="Raw Data" uniqueName="[Raw Data]" caption="Raw Data"/>
  </dimensions>
  <measureGroups count="2">
    <measureGroup name="Date" caption="Date"/>
    <measureGroup name="Raw Data" caption="Raw 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3.83410428241" createdVersion="5" refreshedVersion="8" minRefreshableVersion="3" recordCount="0" supportSubquery="1" supportAdvancedDrill="1" xr:uid="{71D0EDDA-2794-4E1D-8F7B-0896DE25F886}">
  <cacheSource type="external" connectionId="3"/>
  <cacheFields count="4">
    <cacheField name="[Date].[Date].[Date]" caption="Date" numFmtId="0" level="1">
      <sharedItems containsSemiMixedTypes="0" containsNonDate="0" containsDate="1" containsString="0" minDate="2024-01-01T00:00:00" maxDate="2025-12-01T00:00:00" count="244">
        <d v="2024-01-01T00:00:00"/>
        <d v="2024-01-03T00:00:00"/>
        <d v="2024-01-08T00:00:00"/>
        <d v="2024-01-13T00:00:00"/>
        <d v="2024-01-15T00:00:00"/>
        <d v="2024-01-21T00:00:00"/>
        <d v="2024-01-31T00:00:00"/>
        <d v="2024-02-28T00:00:00"/>
        <d v="2024-03-03T00:00:00"/>
        <d v="2024-03-06T00:00:00"/>
        <d v="2024-03-08T00:00:00"/>
        <d v="2024-03-13T00:00:00"/>
        <d v="2024-03-14T00:00:00"/>
        <d v="2024-03-17T00:00:00"/>
        <d v="2024-03-19T00:00:00"/>
        <d v="2024-03-21T00:00:00"/>
        <d v="2024-03-22T00:00:00"/>
        <d v="2024-03-24T00:00:00"/>
        <d v="2024-03-25T00:00:00"/>
        <d v="2024-03-26T00:00:00"/>
        <d v="2024-03-27T00:00:00"/>
        <d v="2024-03-28T00:00:00"/>
        <d v="2024-03-29T00:00:00"/>
        <d v="2024-03-31T00:00:00"/>
        <d v="2024-04-03T00:00:00"/>
        <d v="2024-04-04T00:00:00"/>
        <d v="2024-04-13T00:00:00"/>
        <d v="2024-04-23T00:00:00"/>
        <d v="2024-04-25T00:00:00"/>
        <d v="2024-04-27T00:00:00"/>
        <d v="2024-05-03T00:00:00"/>
        <d v="2024-05-08T00:00:00"/>
        <d v="2024-05-13T00:00:00"/>
        <d v="2024-05-14T00:00:00"/>
        <d v="2024-05-17T00:00:00"/>
        <d v="2024-05-19T00:00:00"/>
        <d v="2024-05-21T00:00:00"/>
        <d v="2024-05-24T00:00:00"/>
        <d v="2024-05-25T00:00:00"/>
        <d v="2024-05-26T00:00:00"/>
        <d v="2024-05-27T00:00:00"/>
        <d v="2024-05-28T00:00:00"/>
        <d v="2024-05-29T00:00:00"/>
        <d v="2024-05-31T00:00:00"/>
        <d v="2024-06-03T00:00:00"/>
        <d v="2024-06-08T00:00:00"/>
        <d v="2024-06-13T00:00:00"/>
        <d v="2024-06-14T00:00:00"/>
        <d v="2024-06-17T00:00:00"/>
        <d v="2024-06-19T00:00:00"/>
        <d v="2024-06-21T00:00:00"/>
        <d v="2024-06-24T00:00:00"/>
        <d v="2024-06-25T00:00:00"/>
        <d v="2024-06-26T00:00:00"/>
        <d v="2024-06-27T00:00:00"/>
        <d v="2024-06-28T00:00:00"/>
        <d v="2024-06-29T00:00:00"/>
        <d v="2024-07-17T00:00:00"/>
        <d v="2024-07-19T00:00:00"/>
        <d v="2024-07-26T00:00:00"/>
        <d v="2024-07-29T00:00:00"/>
        <d v="2024-08-03T00:00:00"/>
        <d v="2024-08-07T00:00:00"/>
        <d v="2024-08-08T00:00:00"/>
        <d v="2024-08-13T00:00:00"/>
        <d v="2024-08-14T00:00:00"/>
        <d v="2024-08-17T00:00:00"/>
        <d v="2024-08-19T00:00:00"/>
        <d v="2024-08-21T00:00:00"/>
        <d v="2024-08-24T00:00:00"/>
        <d v="2024-08-25T00:00:00"/>
        <d v="2024-08-26T00:00:00"/>
        <d v="2024-08-27T00:00:00"/>
        <d v="2024-08-28T00:00:00"/>
        <d v="2024-08-29T00:00:00"/>
        <d v="2024-08-30T00:00:00"/>
        <d v="2024-08-31T00:00:00"/>
        <d v="2024-09-03T00:00:00"/>
        <d v="2024-09-08T00:00:00"/>
        <d v="2024-09-13T00:00:00"/>
        <d v="2024-09-14T00:00:00"/>
        <d v="2024-09-19T00:00:00"/>
        <d v="2024-09-21T00:00:00"/>
        <d v="2024-09-24T00:00:00"/>
        <d v="2024-09-25T00:00:00"/>
        <d v="2024-09-27T00:00:00"/>
        <d v="2024-09-28T00:00:00"/>
        <d v="2024-09-29T00:00:00"/>
        <d v="2024-10-03T00:00:00"/>
        <d v="2024-10-08T00:00:00"/>
        <d v="2024-10-09T00:00:00"/>
        <d v="2024-10-13T00:00:00"/>
        <d v="2024-10-14T00:00:00"/>
        <d v="2024-10-17T00:00:00"/>
        <d v="2024-10-19T00:00:00"/>
        <d v="2024-10-24T00:00:00"/>
        <d v="2024-10-25T00:00:00"/>
        <d v="2024-10-26T00:00:00"/>
        <d v="2024-10-27T00:00:00"/>
        <d v="2024-10-28T00:00:00"/>
        <d v="2024-10-29T00:00:00"/>
        <d v="2024-10-31T00:00:00"/>
        <d v="2024-11-14T00:00:00"/>
        <d v="2024-12-02T00:00:00"/>
        <d v="2024-12-03T00:00:00"/>
        <d v="2024-12-08T00:00:00"/>
        <d v="2024-12-09T00:00:00"/>
        <d v="2024-12-11T00:00:00"/>
        <d v="2024-12-13T00:00:00"/>
        <d v="2024-12-14T00:00:00"/>
        <d v="2024-12-17T00:00:00"/>
        <d v="2024-12-19T00:00:00"/>
        <d v="2024-12-21T00:00:00"/>
        <d v="2024-12-24T00:00:00"/>
        <d v="2024-12-25T00:00:00"/>
        <d v="2024-12-26T00:00:00"/>
        <d v="2024-12-27T00:00:00"/>
        <d v="2024-12-28T00:00:00"/>
        <d v="2024-12-29T00:00:00"/>
        <d v="2024-12-31T00:00:00"/>
        <d v="2025-01-04T00:00:00"/>
        <d v="2025-01-06T00:00:00"/>
        <d v="2025-01-07T00:00:00"/>
        <d v="2025-01-11T00:00:00"/>
        <d v="2025-01-12T00:00:00"/>
        <d v="2025-01-16T00:00:00"/>
        <d v="2025-01-17T00:00:00"/>
        <d v="2025-01-24T00:00:00"/>
        <d v="2025-01-30T00:00:00"/>
        <d v="2025-02-02T00:00:00"/>
        <d v="2025-02-03T00:00:00"/>
        <d v="2025-02-07T00:00:00"/>
        <d v="2025-02-09T00:00:00"/>
        <d v="2025-02-10T00:00:00"/>
        <d v="2025-02-11T00:00:00"/>
        <d v="2025-02-12T00:00:00"/>
        <d v="2025-02-15T00:00:00"/>
        <d v="2025-02-16T00:00:00"/>
        <d v="2025-02-18T00:00:00"/>
        <d v="2025-02-20T00:00:00"/>
        <d v="2025-02-22T00:00:00"/>
        <d v="2025-03-02T00:00:00"/>
        <d v="2025-03-07T00:00:00"/>
        <d v="2025-03-10T00:00:00"/>
        <d v="2025-03-11T00:00:00"/>
        <d v="2025-03-16T00:00:00"/>
        <d v="2025-04-02T00:00:00"/>
        <d v="2025-04-04T00:00:00"/>
        <d v="2025-04-06T00:00:00"/>
        <d v="2025-04-07T00:00:00"/>
        <d v="2025-04-09T00:00:00"/>
        <d v="2025-04-10T00:00:00"/>
        <d v="2025-04-11T00:00:00"/>
        <d v="2025-04-12T00:00:00"/>
        <d v="2025-04-15T00:00:00"/>
        <d v="2025-04-17T00:00:00"/>
        <d v="2025-04-18T00:00:00"/>
        <d v="2025-04-20T00:00:00"/>
        <d v="2025-04-22T00:00:00"/>
        <d v="2025-04-30T00:00:00"/>
        <d v="2025-05-02T00:00:00"/>
        <d v="2025-05-04T00:00:00"/>
        <d v="2025-05-05T00:00:00"/>
        <d v="2025-05-06T00:00:00"/>
        <d v="2025-05-09T00:00:00"/>
        <d v="2025-05-10T00:00:00"/>
        <d v="2025-05-12T00:00:00"/>
        <d v="2025-05-15T00:00:00"/>
        <d v="2025-05-16T00:00:00"/>
        <d v="2025-05-18T00:00:00"/>
        <d v="2025-05-20T00:00:00"/>
        <d v="2025-05-22T00:00:00"/>
        <d v="2025-05-30T00:00:00"/>
        <d v="2025-06-11T00:00:00"/>
        <d v="2025-06-16T00:00:00"/>
        <d v="2025-06-18T00:00:00"/>
        <d v="2025-06-20T00:00:00"/>
        <d v="2025-06-22T00:00:00"/>
        <d v="2025-06-27T00:00:00"/>
        <d v="2025-07-02T00:00:00"/>
        <d v="2025-07-04T00:00:00"/>
        <d v="2025-07-06T00:00:00"/>
        <d v="2025-07-07T00:00:00"/>
        <d v="2025-07-08T00:00:00"/>
        <d v="2025-07-09T00:00:00"/>
        <d v="2025-07-10T00:00:00"/>
        <d v="2025-07-11T00:00:00"/>
        <d v="2025-07-12T00:00:00"/>
        <d v="2025-07-15T00:00:00"/>
        <d v="2025-07-16T00:00:00"/>
        <d v="2025-07-18T00:00:00"/>
        <d v="2025-07-20T00:00:00"/>
        <d v="2025-07-22T00:00:00"/>
        <d v="2025-07-30T00:00:00"/>
        <d v="2025-07-31T00:00:00"/>
        <d v="2025-08-06T00:00:00"/>
        <d v="2025-08-18T00:00:00"/>
        <d v="2025-08-22T00:00:00"/>
        <d v="2025-09-02T00:00:00"/>
        <d v="2025-09-04T00:00:00"/>
        <d v="2025-09-06T00:00:00"/>
        <d v="2025-09-07T00:00:00"/>
        <d v="2025-09-09T00:00:00"/>
        <d v="2025-09-10T00:00:00"/>
        <d v="2025-09-11T00:00:00"/>
        <d v="2025-09-12T00:00:00"/>
        <d v="2025-09-15T00:00:00"/>
        <d v="2025-09-16T00:00:00"/>
        <d v="2025-09-18T00:00:00"/>
        <d v="2025-09-20T00:00:00"/>
        <d v="2025-09-22T00:00:00"/>
        <d v="2025-09-28T00:00:00"/>
        <d v="2025-09-30T00:00:00"/>
        <d v="2025-10-02T00:00:00"/>
        <d v="2025-10-04T00:00:00"/>
        <d v="2025-10-05T00:00:00"/>
        <d v="2025-10-06T00:00:00"/>
        <d v="2025-10-07T00:00:00"/>
        <d v="2025-10-09T00:00:00"/>
        <d v="2025-10-10T00:00:00"/>
        <d v="2025-10-11T00:00:00"/>
        <d v="2025-10-12T00:00:00"/>
        <d v="2025-10-15T00:00:00"/>
        <d v="2025-10-16T00:00:00"/>
        <d v="2025-10-18T00:00:00"/>
        <d v="2025-10-20T00:00:00"/>
        <d v="2025-10-22T00:00:00"/>
        <d v="2025-10-30T00:00:00"/>
        <d v="2025-11-02T00:00:00"/>
        <d v="2025-11-04T00:00:00"/>
        <d v="2025-11-06T00:00:00"/>
        <d v="2025-11-07T00:00:00"/>
        <d v="2025-11-09T00:00:00"/>
        <d v="2025-11-10T00:00:00"/>
        <d v="2025-11-11T00:00:00"/>
        <d v="2025-11-12T00:00:00"/>
        <d v="2025-11-15T00:00:00"/>
        <d v="2025-11-16T00:00:00"/>
        <d v="2025-11-18T00:00:00"/>
        <d v="2025-11-20T00:00:00"/>
        <d v="2025-11-21T00:00:00"/>
        <d v="2025-11-22T00:00:00"/>
        <d v="2025-11-25T00:00:00"/>
        <d v="2025-11-30T00:00:00"/>
      </sharedItems>
    </cacheField>
    <cacheField name="[Measures].[Count of Patient_ID]" caption="Count of Patient_ID" numFmtId="0" hierarchy="21" level="32767"/>
    <cacheField name="[Date].[Date (Month)].[Date (Month)]" caption="Date (Month)" numFmtId="0" hierarchy="3" level="1">
      <sharedItems containsSemiMixedTypes="0" containsNonDate="0" containsString="0"/>
    </cacheField>
    <cacheField name="[Date].[Date (Year)].[Date (Year)]" caption="Date (Year)" numFmtId="0" hierarchy="1" level="1">
      <sharedItems containsSemiMixedTypes="0" containsNonDate="0" containsString="0"/>
    </cacheField>
  </cacheFields>
  <cacheHierarchies count="36">
    <cacheHierarchy uniqueName="[Date].[Date]" caption="Date" attribute="1" time="1" defaultMemberUniqueName="[Date].[Date].[All]" allUniqueName="[Date].[Date].[All]" dimensionUniqueName="[Date]" displayFolder="" count="2" memberValueDatatype="7" unbalanced="0">
      <fieldsUsage count="2">
        <fieldUsage x="-1"/>
        <fieldUsage x="0"/>
      </fieldsUsage>
    </cacheHierarchy>
    <cacheHierarchy uniqueName="[Date].[Date (Year)]" caption="Date (Year)" attribute="1" defaultMemberUniqueName="[Date].[Date (Year)].[All]" allUniqueName="[Date].[Date (Year)].[All]" dimensionUniqueName="[Date]" displayFolder="" count="2" memberValueDatatype="130" unbalanced="0">
      <fieldsUsage count="2">
        <fieldUsage x="-1"/>
        <fieldUsage x="3"/>
      </fieldsUsage>
    </cacheHierarchy>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2" memberValueDatatype="130" unbalanced="0">
      <fieldsUsage count="2">
        <fieldUsage x="-1"/>
        <fieldUsage x="2"/>
      </fieldsUsage>
    </cacheHierarchy>
    <cacheHierarchy uniqueName="[Raw Data].[Patient_ID]" caption="Patient_ID" attribute="1" defaultMemberUniqueName="[Raw Data].[Patient_ID].[All]" allUniqueName="[Raw Data].[Patient_ID].[All]" dimensionUniqueName="[Raw Data]" displayFolder="" count="0" memberValueDatatype="130" unbalanced="0"/>
    <cacheHierarchy uniqueName="[Raw Data].[Admission_Date]" caption="Admission_Date" attribute="1" time="1" defaultMemberUniqueName="[Raw Data].[Admission_Date].[All]" allUniqueName="[Raw Data].[Admission_Date].[All]" dimensionUniqueName="[Raw Data]" displayFolder="" count="0" memberValueDatatype="7" unbalanced="0"/>
    <cacheHierarchy uniqueName="[Raw Data].[First_Name]" caption="First_Name" attribute="1" defaultMemberUniqueName="[Raw Data].[First_Name].[All]" allUniqueName="[Raw Data].[First_Name].[All]" dimensionUniqueName="[Raw Data]" displayFolder="" count="0" memberValueDatatype="130" unbalanced="0"/>
    <cacheHierarchy uniqueName="[Raw Data].[Last_Name]" caption="Last_Name" attribute="1" defaultMemberUniqueName="[Raw Data].[Last_Name].[All]" allUniqueName="[Raw Data].[Last_Name].[All]" dimensionUniqueName="[Raw Data]" displayFolder="" count="0" memberValueDatatype="130" unbalanced="0"/>
    <cacheHierarchy uniqueName="[Raw Data].[Gender]" caption="Gender" attribute="1" defaultMemberUniqueName="[Raw Data].[Gender].[All]" allUniqueName="[Raw Data].[Gender].[All]" dimensionUniqueName="[Raw Data]" displayFolder="" count="0" memberValueDatatype="130" unbalanced="0"/>
    <cacheHierarchy uniqueName="[Raw Data].[Age]" caption="Age" attribute="1" defaultMemberUniqueName="[Raw Data].[Age].[All]" allUniqueName="[Raw Data].[Age].[All]" dimensionUniqueName="[Raw Data]" displayFolder="" count="0" memberValueDatatype="20" unbalanced="0"/>
    <cacheHierarchy uniqueName="[Raw Data].[Race]" caption="Race" attribute="1" defaultMemberUniqueName="[Raw Data].[Race].[All]" allUniqueName="[Raw Data].[Race].[All]" dimensionUniqueName="[Raw Data]" displayFolder="" count="0" memberValueDatatype="130" unbalanced="0"/>
    <cacheHierarchy uniqueName="[Raw Data].[Departmental_Referral]" caption="Departmental_Referral" attribute="1" defaultMemberUniqueName="[Raw Data].[Departmental_Referral].[All]" allUniqueName="[Raw Data].[Departmental_Referral].[All]" dimensionUniqueName="[Raw Data]" displayFolder="" count="0" memberValueDatatype="130" unbalanced="0"/>
    <cacheHierarchy uniqueName="[Raw Data].[Admission_Flag]" caption="Admission_Flag" attribute="1" defaultMemberUniqueName="[Raw Data].[Admission_Flag].[All]" allUniqueName="[Raw Data].[Admission_Flag].[All]" dimensionUniqueName="[Raw Data]" displayFolder="" count="0" memberValueDatatype="130" unbalanced="0"/>
    <cacheHierarchy uniqueName="[Raw Data].[Satisfaction_Score]" caption="Satisfaction_Score" attribute="1" defaultMemberUniqueName="[Raw Data].[Satisfaction_Score].[All]" allUniqueName="[Raw Data].[Satisfaction_Score].[All]" dimensionUniqueName="[Raw Data]" displayFolder="" count="0" memberValueDatatype="20" unbalanced="0"/>
    <cacheHierarchy uniqueName="[Raw Data].[Wait_Time]" caption="Wait_Time" attribute="1" defaultMemberUniqueName="[Raw Data].[Wait_Time].[All]" allUniqueName="[Raw Data].[Wait_Time].[All]" dimensionUniqueName="[Raw Data]" displayFolder="" count="0" memberValueDatatype="20" unbalanced="0"/>
    <cacheHierarchy uniqueName="[Raw Data].[Age Group]" caption="Age Group" attribute="1" defaultMemberUniqueName="[Raw Data].[Age Group].[All]" allUniqueName="[Raw Data].[Age Group].[All]" dimensionUniqueName="[Raw Data]" displayFolder="" count="0" memberValueDatatype="130" unbalanced="0"/>
    <cacheHierarchy uniqueName="[Raw Data].[Patient Attend Time]" caption="Patient Attend Time" attribute="1" defaultMemberUniqueName="[Raw Data].[Patient Attend Time].[All]" allUniqueName="[Raw Data].[Patient Attend Time].[All]" dimensionUniqueName="[Raw Data]"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__XL_Count Raw Data]" caption="__XL_Count Raw Data" measure="1" displayFolder="" measureGroup="Raw 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Patient_ID]" caption="Count of Patient_ID" measure="1" displayFolder="" measureGroup="Raw Data"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Wait_Time]" caption="Sum of Wait_Time" measure="1" displayFolder="" measureGroup="Raw Data" count="0" hidden="1">
      <extLst>
        <ext xmlns:x15="http://schemas.microsoft.com/office/spreadsheetml/2010/11/main" uri="{B97F6D7D-B522-45F9-BDA1-12C45D357490}">
          <x15:cacheHierarchy aggregatedColumn="14"/>
        </ext>
      </extLst>
    </cacheHierarchy>
    <cacheHierarchy uniqueName="[Measures].[Average of Wait_Time]" caption="Average of Wait_Time" measure="1" displayFolder="" measureGroup="Raw Data" count="0" hidden="1">
      <extLst>
        <ext xmlns:x15="http://schemas.microsoft.com/office/spreadsheetml/2010/11/main" uri="{B97F6D7D-B522-45F9-BDA1-12C45D357490}">
          <x15:cacheHierarchy aggregatedColumn="14"/>
        </ext>
      </extLst>
    </cacheHierarchy>
    <cacheHierarchy uniqueName="[Measures].[Sum of Satisfaction_Score]" caption="Sum of Satisfaction_Score" measure="1" displayFolder="" measureGroup="Raw Data" count="0" hidden="1">
      <extLst>
        <ext xmlns:x15="http://schemas.microsoft.com/office/spreadsheetml/2010/11/main" uri="{B97F6D7D-B522-45F9-BDA1-12C45D357490}">
          <x15:cacheHierarchy aggregatedColumn="13"/>
        </ext>
      </extLst>
    </cacheHierarchy>
    <cacheHierarchy uniqueName="[Measures].[Average of Satisfaction_Score]" caption="Average of Satisfaction_Score" measure="1" displayFolder="" measureGroup="Raw Data" count="0" hidden="1">
      <extLst>
        <ext xmlns:x15="http://schemas.microsoft.com/office/spreadsheetml/2010/11/main" uri="{B97F6D7D-B522-45F9-BDA1-12C45D357490}">
          <x15:cacheHierarchy aggregatedColumn="13"/>
        </ext>
      </extLst>
    </cacheHierarchy>
    <cacheHierarchy uniqueName="[Measures].[Count of Date (Year)]" caption="Count of Date (Year)" measure="1" displayFolder="" measureGroup="Date" count="0" hidden="1">
      <extLst>
        <ext xmlns:x15="http://schemas.microsoft.com/office/spreadsheetml/2010/11/main" uri="{B97F6D7D-B522-45F9-BDA1-12C45D357490}">
          <x15:cacheHierarchy aggregatedColumn="1"/>
        </ext>
      </extLst>
    </cacheHierarchy>
    <cacheHierarchy uniqueName="[Measures].[Count of Date (Quarter)]" caption="Count of Date (Quarter)" measure="1" displayFolder="" measureGroup="Date" count="0" hidden="1">
      <extLst>
        <ext xmlns:x15="http://schemas.microsoft.com/office/spreadsheetml/2010/11/main" uri="{B97F6D7D-B522-45F9-BDA1-12C45D357490}">
          <x15:cacheHierarchy aggregatedColumn="2"/>
        </ext>
      </extLst>
    </cacheHierarchy>
    <cacheHierarchy uniqueName="[Measures].[Count of Date (Month)]" caption="Count of Date (Month)" measure="1" displayFolder="" measureGroup="Date" count="0" hidden="1">
      <extLst>
        <ext xmlns:x15="http://schemas.microsoft.com/office/spreadsheetml/2010/11/main" uri="{B97F6D7D-B522-45F9-BDA1-12C45D357490}">
          <x15:cacheHierarchy aggregatedColumn="3"/>
        </ext>
      </extLst>
    </cacheHierarchy>
    <cacheHierarchy uniqueName="[Measures].[Count of Date]" caption="Count of Date" measure="1" displayFolder="" measureGroup="Date" count="0" hidden="1">
      <extLst>
        <ext xmlns:x15="http://schemas.microsoft.com/office/spreadsheetml/2010/11/main" uri="{B97F6D7D-B522-45F9-BDA1-12C45D357490}">
          <x15:cacheHierarchy aggregatedColumn="0"/>
        </ext>
      </extLst>
    </cacheHierarchy>
    <cacheHierarchy uniqueName="[Measures].[Count of Patient Attend Time]" caption="Count of Patient Attend Time" measure="1" displayFolder="" measureGroup="Raw Data" count="0" hidden="1">
      <extLst>
        <ext xmlns:x15="http://schemas.microsoft.com/office/spreadsheetml/2010/11/main" uri="{B97F6D7D-B522-45F9-BDA1-12C45D357490}">
          <x15:cacheHierarchy aggregatedColumn="16"/>
        </ext>
      </extLst>
    </cacheHierarchy>
    <cacheHierarchy uniqueName="[Measures].[Count of Admission_Flag]" caption="Count of Admission_Flag" measure="1" displayFolder="" measureGroup="Raw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Raw Data"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Raw Data" count="0" hidden="1">
      <extLst>
        <ext xmlns:x15="http://schemas.microsoft.com/office/spreadsheetml/2010/11/main" uri="{B97F6D7D-B522-45F9-BDA1-12C45D357490}">
          <x15:cacheHierarchy aggregatedColumn="9"/>
        </ext>
      </extLst>
    </cacheHierarchy>
    <cacheHierarchy uniqueName="[Measures].[Count of Gender]" caption="Count of Gender" measure="1" displayFolder="" measureGroup="Raw Data" count="0" hidden="1">
      <extLst>
        <ext xmlns:x15="http://schemas.microsoft.com/office/spreadsheetml/2010/11/main" uri="{B97F6D7D-B522-45F9-BDA1-12C45D357490}">
          <x15:cacheHierarchy aggregatedColumn="8"/>
        </ext>
      </extLst>
    </cacheHierarchy>
    <cacheHierarchy uniqueName="[Measures].[Count of Departmental_Referral]" caption="Count of Departmental_Referral" measure="1" displayFolder="" measureGroup="Raw Data" count="0" hidden="1">
      <extLst>
        <ext xmlns:x15="http://schemas.microsoft.com/office/spreadsheetml/2010/11/main" uri="{B97F6D7D-B522-45F9-BDA1-12C45D357490}">
          <x15:cacheHierarchy aggregatedColumn="11"/>
        </ext>
      </extLst>
    </cacheHierarchy>
  </cacheHierarchies>
  <kpis count="0"/>
  <dimensions count="3">
    <dimension name="Date" uniqueName="[Date]" caption="Date"/>
    <dimension measure="1" name="Measures" uniqueName="[Measures]" caption="Measures"/>
    <dimension name="Raw Data" uniqueName="[Raw Data]" caption="Raw Data"/>
  </dimensions>
  <measureGroups count="2">
    <measureGroup name="Date" caption="Date"/>
    <measureGroup name="Raw Data" caption="Raw 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3.834106134258" createdVersion="5" refreshedVersion="8" minRefreshableVersion="3" recordCount="0" supportSubquery="1" supportAdvancedDrill="1" xr:uid="{FCC65C16-757B-4B7D-9E47-F46CA842EBE7}">
  <cacheSource type="external" connectionId="3"/>
  <cacheFields count="4">
    <cacheField name="[Date].[Date].[Date]" caption="Date" numFmtId="0" level="1">
      <sharedItems containsSemiMixedTypes="0" containsNonDate="0" containsDate="1" containsString="0" minDate="2024-01-01T00:00:00" maxDate="2025-12-01T00:00:00" count="244">
        <d v="2024-01-01T00:00:00"/>
        <d v="2024-01-03T00:00:00"/>
        <d v="2024-01-08T00:00:00"/>
        <d v="2024-01-13T00:00:00"/>
        <d v="2024-01-15T00:00:00"/>
        <d v="2024-01-21T00:00:00"/>
        <d v="2024-01-31T00:00:00"/>
        <d v="2024-02-28T00:00:00"/>
        <d v="2024-03-03T00:00:00"/>
        <d v="2024-03-06T00:00:00"/>
        <d v="2024-03-08T00:00:00"/>
        <d v="2024-03-13T00:00:00"/>
        <d v="2024-03-14T00:00:00"/>
        <d v="2024-03-17T00:00:00"/>
        <d v="2024-03-19T00:00:00"/>
        <d v="2024-03-21T00:00:00"/>
        <d v="2024-03-22T00:00:00"/>
        <d v="2024-03-24T00:00:00"/>
        <d v="2024-03-25T00:00:00"/>
        <d v="2024-03-26T00:00:00"/>
        <d v="2024-03-27T00:00:00"/>
        <d v="2024-03-28T00:00:00"/>
        <d v="2024-03-29T00:00:00"/>
        <d v="2024-03-31T00:00:00"/>
        <d v="2024-04-03T00:00:00"/>
        <d v="2024-04-04T00:00:00"/>
        <d v="2024-04-13T00:00:00"/>
        <d v="2024-04-23T00:00:00"/>
        <d v="2024-04-25T00:00:00"/>
        <d v="2024-04-27T00:00:00"/>
        <d v="2024-05-03T00:00:00"/>
        <d v="2024-05-08T00:00:00"/>
        <d v="2024-05-13T00:00:00"/>
        <d v="2024-05-14T00:00:00"/>
        <d v="2024-05-17T00:00:00"/>
        <d v="2024-05-19T00:00:00"/>
        <d v="2024-05-21T00:00:00"/>
        <d v="2024-05-24T00:00:00"/>
        <d v="2024-05-25T00:00:00"/>
        <d v="2024-05-26T00:00:00"/>
        <d v="2024-05-27T00:00:00"/>
        <d v="2024-05-28T00:00:00"/>
        <d v="2024-05-29T00:00:00"/>
        <d v="2024-05-31T00:00:00"/>
        <d v="2024-06-03T00:00:00"/>
        <d v="2024-06-08T00:00:00"/>
        <d v="2024-06-13T00:00:00"/>
        <d v="2024-06-14T00:00:00"/>
        <d v="2024-06-17T00:00:00"/>
        <d v="2024-06-19T00:00:00"/>
        <d v="2024-06-21T00:00:00"/>
        <d v="2024-06-24T00:00:00"/>
        <d v="2024-06-25T00:00:00"/>
        <d v="2024-06-26T00:00:00"/>
        <d v="2024-06-27T00:00:00"/>
        <d v="2024-06-28T00:00:00"/>
        <d v="2024-06-29T00:00:00"/>
        <d v="2024-07-17T00:00:00"/>
        <d v="2024-07-19T00:00:00"/>
        <d v="2024-07-26T00:00:00"/>
        <d v="2024-07-29T00:00:00"/>
        <d v="2024-08-03T00:00:00"/>
        <d v="2024-08-07T00:00:00"/>
        <d v="2024-08-08T00:00:00"/>
        <d v="2024-08-13T00:00:00"/>
        <d v="2024-08-14T00:00:00"/>
        <d v="2024-08-17T00:00:00"/>
        <d v="2024-08-19T00:00:00"/>
        <d v="2024-08-21T00:00:00"/>
        <d v="2024-08-24T00:00:00"/>
        <d v="2024-08-25T00:00:00"/>
        <d v="2024-08-26T00:00:00"/>
        <d v="2024-08-27T00:00:00"/>
        <d v="2024-08-28T00:00:00"/>
        <d v="2024-08-29T00:00:00"/>
        <d v="2024-08-30T00:00:00"/>
        <d v="2024-08-31T00:00:00"/>
        <d v="2024-09-03T00:00:00"/>
        <d v="2024-09-08T00:00:00"/>
        <d v="2024-09-13T00:00:00"/>
        <d v="2024-09-14T00:00:00"/>
        <d v="2024-09-19T00:00:00"/>
        <d v="2024-09-21T00:00:00"/>
        <d v="2024-09-24T00:00:00"/>
        <d v="2024-09-25T00:00:00"/>
        <d v="2024-09-27T00:00:00"/>
        <d v="2024-09-28T00:00:00"/>
        <d v="2024-09-29T00:00:00"/>
        <d v="2024-10-03T00:00:00"/>
        <d v="2024-10-08T00:00:00"/>
        <d v="2024-10-09T00:00:00"/>
        <d v="2024-10-13T00:00:00"/>
        <d v="2024-10-14T00:00:00"/>
        <d v="2024-10-17T00:00:00"/>
        <d v="2024-10-19T00:00:00"/>
        <d v="2024-10-24T00:00:00"/>
        <d v="2024-10-25T00:00:00"/>
        <d v="2024-10-26T00:00:00"/>
        <d v="2024-10-27T00:00:00"/>
        <d v="2024-10-28T00:00:00"/>
        <d v="2024-10-29T00:00:00"/>
        <d v="2024-10-31T00:00:00"/>
        <d v="2024-11-14T00:00:00"/>
        <d v="2024-12-02T00:00:00"/>
        <d v="2024-12-03T00:00:00"/>
        <d v="2024-12-08T00:00:00"/>
        <d v="2024-12-09T00:00:00"/>
        <d v="2024-12-11T00:00:00"/>
        <d v="2024-12-13T00:00:00"/>
        <d v="2024-12-14T00:00:00"/>
        <d v="2024-12-17T00:00:00"/>
        <d v="2024-12-19T00:00:00"/>
        <d v="2024-12-21T00:00:00"/>
        <d v="2024-12-24T00:00:00"/>
        <d v="2024-12-25T00:00:00"/>
        <d v="2024-12-26T00:00:00"/>
        <d v="2024-12-27T00:00:00"/>
        <d v="2024-12-28T00:00:00"/>
        <d v="2024-12-29T00:00:00"/>
        <d v="2024-12-31T00:00:00"/>
        <d v="2025-01-04T00:00:00"/>
        <d v="2025-01-06T00:00:00"/>
        <d v="2025-01-07T00:00:00"/>
        <d v="2025-01-11T00:00:00"/>
        <d v="2025-01-12T00:00:00"/>
        <d v="2025-01-16T00:00:00"/>
        <d v="2025-01-17T00:00:00"/>
        <d v="2025-01-24T00:00:00"/>
        <d v="2025-01-30T00:00:00"/>
        <d v="2025-02-02T00:00:00"/>
        <d v="2025-02-03T00:00:00"/>
        <d v="2025-02-07T00:00:00"/>
        <d v="2025-02-09T00:00:00"/>
        <d v="2025-02-10T00:00:00"/>
        <d v="2025-02-11T00:00:00"/>
        <d v="2025-02-12T00:00:00"/>
        <d v="2025-02-15T00:00:00"/>
        <d v="2025-02-16T00:00:00"/>
        <d v="2025-02-18T00:00:00"/>
        <d v="2025-02-20T00:00:00"/>
        <d v="2025-02-22T00:00:00"/>
        <d v="2025-03-02T00:00:00"/>
        <d v="2025-03-07T00:00:00"/>
        <d v="2025-03-10T00:00:00"/>
        <d v="2025-03-11T00:00:00"/>
        <d v="2025-03-16T00:00:00"/>
        <d v="2025-04-02T00:00:00"/>
        <d v="2025-04-04T00:00:00"/>
        <d v="2025-04-06T00:00:00"/>
        <d v="2025-04-07T00:00:00"/>
        <d v="2025-04-09T00:00:00"/>
        <d v="2025-04-10T00:00:00"/>
        <d v="2025-04-11T00:00:00"/>
        <d v="2025-04-12T00:00:00"/>
        <d v="2025-04-15T00:00:00"/>
        <d v="2025-04-17T00:00:00"/>
        <d v="2025-04-18T00:00:00"/>
        <d v="2025-04-20T00:00:00"/>
        <d v="2025-04-22T00:00:00"/>
        <d v="2025-04-30T00:00:00"/>
        <d v="2025-05-02T00:00:00"/>
        <d v="2025-05-04T00:00:00"/>
        <d v="2025-05-05T00:00:00"/>
        <d v="2025-05-06T00:00:00"/>
        <d v="2025-05-09T00:00:00"/>
        <d v="2025-05-10T00:00:00"/>
        <d v="2025-05-12T00:00:00"/>
        <d v="2025-05-15T00:00:00"/>
        <d v="2025-05-16T00:00:00"/>
        <d v="2025-05-18T00:00:00"/>
        <d v="2025-05-20T00:00:00"/>
        <d v="2025-05-22T00:00:00"/>
        <d v="2025-05-30T00:00:00"/>
        <d v="2025-06-11T00:00:00"/>
        <d v="2025-06-16T00:00:00"/>
        <d v="2025-06-18T00:00:00"/>
        <d v="2025-06-20T00:00:00"/>
        <d v="2025-06-22T00:00:00"/>
        <d v="2025-06-27T00:00:00"/>
        <d v="2025-07-02T00:00:00"/>
        <d v="2025-07-04T00:00:00"/>
        <d v="2025-07-06T00:00:00"/>
        <d v="2025-07-07T00:00:00"/>
        <d v="2025-07-08T00:00:00"/>
        <d v="2025-07-09T00:00:00"/>
        <d v="2025-07-10T00:00:00"/>
        <d v="2025-07-11T00:00:00"/>
        <d v="2025-07-12T00:00:00"/>
        <d v="2025-07-15T00:00:00"/>
        <d v="2025-07-16T00:00:00"/>
        <d v="2025-07-18T00:00:00"/>
        <d v="2025-07-20T00:00:00"/>
        <d v="2025-07-22T00:00:00"/>
        <d v="2025-07-30T00:00:00"/>
        <d v="2025-07-31T00:00:00"/>
        <d v="2025-08-06T00:00:00"/>
        <d v="2025-08-18T00:00:00"/>
        <d v="2025-08-22T00:00:00"/>
        <d v="2025-09-02T00:00:00"/>
        <d v="2025-09-04T00:00:00"/>
        <d v="2025-09-06T00:00:00"/>
        <d v="2025-09-07T00:00:00"/>
        <d v="2025-09-09T00:00:00"/>
        <d v="2025-09-10T00:00:00"/>
        <d v="2025-09-11T00:00:00"/>
        <d v="2025-09-12T00:00:00"/>
        <d v="2025-09-15T00:00:00"/>
        <d v="2025-09-16T00:00:00"/>
        <d v="2025-09-18T00:00:00"/>
        <d v="2025-09-20T00:00:00"/>
        <d v="2025-09-22T00:00:00"/>
        <d v="2025-09-28T00:00:00"/>
        <d v="2025-09-30T00:00:00"/>
        <d v="2025-10-02T00:00:00"/>
        <d v="2025-10-04T00:00:00"/>
        <d v="2025-10-05T00:00:00"/>
        <d v="2025-10-06T00:00:00"/>
        <d v="2025-10-07T00:00:00"/>
        <d v="2025-10-09T00:00:00"/>
        <d v="2025-10-10T00:00:00"/>
        <d v="2025-10-11T00:00:00"/>
        <d v="2025-10-12T00:00:00"/>
        <d v="2025-10-15T00:00:00"/>
        <d v="2025-10-16T00:00:00"/>
        <d v="2025-10-18T00:00:00"/>
        <d v="2025-10-20T00:00:00"/>
        <d v="2025-10-22T00:00:00"/>
        <d v="2025-10-30T00:00:00"/>
        <d v="2025-11-02T00:00:00"/>
        <d v="2025-11-04T00:00:00"/>
        <d v="2025-11-06T00:00:00"/>
        <d v="2025-11-07T00:00:00"/>
        <d v="2025-11-09T00:00:00"/>
        <d v="2025-11-10T00:00:00"/>
        <d v="2025-11-11T00:00:00"/>
        <d v="2025-11-12T00:00:00"/>
        <d v="2025-11-15T00:00:00"/>
        <d v="2025-11-16T00:00:00"/>
        <d v="2025-11-18T00:00:00"/>
        <d v="2025-11-20T00:00:00"/>
        <d v="2025-11-21T00:00:00"/>
        <d v="2025-11-22T00:00:00"/>
        <d v="2025-11-25T00:00:00"/>
        <d v="2025-11-30T00:00:00"/>
      </sharedItems>
    </cacheField>
    <cacheField name="[Measures].[Average of Wait_Time]" caption="Average of Wait_Time" numFmtId="0" hierarchy="23" level="32767"/>
    <cacheField name="[Date].[Date (Month)].[Date (Month)]" caption="Date (Month)" numFmtId="0" hierarchy="3" level="1">
      <sharedItems containsSemiMixedTypes="0" containsNonDate="0" containsString="0"/>
    </cacheField>
    <cacheField name="[Date].[Date (Year)].[Date (Year)]" caption="Date (Year)" numFmtId="0" hierarchy="1" level="1">
      <sharedItems containsSemiMixedTypes="0" containsNonDate="0" containsString="0"/>
    </cacheField>
  </cacheFields>
  <cacheHierarchies count="36">
    <cacheHierarchy uniqueName="[Date].[Date]" caption="Date" attribute="1" time="1" defaultMemberUniqueName="[Date].[Date].[All]" allUniqueName="[Date].[Date].[All]" dimensionUniqueName="[Date]" displayFolder="" count="2" memberValueDatatype="7" unbalanced="0">
      <fieldsUsage count="2">
        <fieldUsage x="-1"/>
        <fieldUsage x="0"/>
      </fieldsUsage>
    </cacheHierarchy>
    <cacheHierarchy uniqueName="[Date].[Date (Year)]" caption="Date (Year)" attribute="1" defaultMemberUniqueName="[Date].[Date (Year)].[All]" allUniqueName="[Date].[Date (Year)].[All]" dimensionUniqueName="[Date]" displayFolder="" count="2" memberValueDatatype="130" unbalanced="0">
      <fieldsUsage count="2">
        <fieldUsage x="-1"/>
        <fieldUsage x="3"/>
      </fieldsUsage>
    </cacheHierarchy>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2" memberValueDatatype="130" unbalanced="0">
      <fieldsUsage count="2">
        <fieldUsage x="-1"/>
        <fieldUsage x="2"/>
      </fieldsUsage>
    </cacheHierarchy>
    <cacheHierarchy uniqueName="[Raw Data].[Patient_ID]" caption="Patient_ID" attribute="1" defaultMemberUniqueName="[Raw Data].[Patient_ID].[All]" allUniqueName="[Raw Data].[Patient_ID].[All]" dimensionUniqueName="[Raw Data]" displayFolder="" count="0" memberValueDatatype="130" unbalanced="0"/>
    <cacheHierarchy uniqueName="[Raw Data].[Admission_Date]" caption="Admission_Date" attribute="1" time="1" defaultMemberUniqueName="[Raw Data].[Admission_Date].[All]" allUniqueName="[Raw Data].[Admission_Date].[All]" dimensionUniqueName="[Raw Data]" displayFolder="" count="0" memberValueDatatype="7" unbalanced="0"/>
    <cacheHierarchy uniqueName="[Raw Data].[First_Name]" caption="First_Name" attribute="1" defaultMemberUniqueName="[Raw Data].[First_Name].[All]" allUniqueName="[Raw Data].[First_Name].[All]" dimensionUniqueName="[Raw Data]" displayFolder="" count="0" memberValueDatatype="130" unbalanced="0"/>
    <cacheHierarchy uniqueName="[Raw Data].[Last_Name]" caption="Last_Name" attribute="1" defaultMemberUniqueName="[Raw Data].[Last_Name].[All]" allUniqueName="[Raw Data].[Last_Name].[All]" dimensionUniqueName="[Raw Data]" displayFolder="" count="0" memberValueDatatype="130" unbalanced="0"/>
    <cacheHierarchy uniqueName="[Raw Data].[Gender]" caption="Gender" attribute="1" defaultMemberUniqueName="[Raw Data].[Gender].[All]" allUniqueName="[Raw Data].[Gender].[All]" dimensionUniqueName="[Raw Data]" displayFolder="" count="0" memberValueDatatype="130" unbalanced="0"/>
    <cacheHierarchy uniqueName="[Raw Data].[Age]" caption="Age" attribute="1" defaultMemberUniqueName="[Raw Data].[Age].[All]" allUniqueName="[Raw Data].[Age].[All]" dimensionUniqueName="[Raw Data]" displayFolder="" count="0" memberValueDatatype="20" unbalanced="0"/>
    <cacheHierarchy uniqueName="[Raw Data].[Race]" caption="Race" attribute="1" defaultMemberUniqueName="[Raw Data].[Race].[All]" allUniqueName="[Raw Data].[Race].[All]" dimensionUniqueName="[Raw Data]" displayFolder="" count="0" memberValueDatatype="130" unbalanced="0"/>
    <cacheHierarchy uniqueName="[Raw Data].[Departmental_Referral]" caption="Departmental_Referral" attribute="1" defaultMemberUniqueName="[Raw Data].[Departmental_Referral].[All]" allUniqueName="[Raw Data].[Departmental_Referral].[All]" dimensionUniqueName="[Raw Data]" displayFolder="" count="0" memberValueDatatype="130" unbalanced="0"/>
    <cacheHierarchy uniqueName="[Raw Data].[Admission_Flag]" caption="Admission_Flag" attribute="1" defaultMemberUniqueName="[Raw Data].[Admission_Flag].[All]" allUniqueName="[Raw Data].[Admission_Flag].[All]" dimensionUniqueName="[Raw Data]" displayFolder="" count="0" memberValueDatatype="130" unbalanced="0"/>
    <cacheHierarchy uniqueName="[Raw Data].[Satisfaction_Score]" caption="Satisfaction_Score" attribute="1" defaultMemberUniqueName="[Raw Data].[Satisfaction_Score].[All]" allUniqueName="[Raw Data].[Satisfaction_Score].[All]" dimensionUniqueName="[Raw Data]" displayFolder="" count="0" memberValueDatatype="20" unbalanced="0"/>
    <cacheHierarchy uniqueName="[Raw Data].[Wait_Time]" caption="Wait_Time" attribute="1" defaultMemberUniqueName="[Raw Data].[Wait_Time].[All]" allUniqueName="[Raw Data].[Wait_Time].[All]" dimensionUniqueName="[Raw Data]" displayFolder="" count="0" memberValueDatatype="20" unbalanced="0"/>
    <cacheHierarchy uniqueName="[Raw Data].[Age Group]" caption="Age Group" attribute="1" defaultMemberUniqueName="[Raw Data].[Age Group].[All]" allUniqueName="[Raw Data].[Age Group].[All]" dimensionUniqueName="[Raw Data]" displayFolder="" count="0" memberValueDatatype="130" unbalanced="0"/>
    <cacheHierarchy uniqueName="[Raw Data].[Patient Attend Time]" caption="Patient Attend Time" attribute="1" defaultMemberUniqueName="[Raw Data].[Patient Attend Time].[All]" allUniqueName="[Raw Data].[Patient Attend Time].[All]" dimensionUniqueName="[Raw Data]"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__XL_Count Raw Data]" caption="__XL_Count Raw Data" measure="1" displayFolder="" measureGroup="Raw 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Patient_ID]" caption="Count of Patient_ID" measure="1" displayFolder="" measureGroup="Raw Data" count="0" hidden="1">
      <extLst>
        <ext xmlns:x15="http://schemas.microsoft.com/office/spreadsheetml/2010/11/main" uri="{B97F6D7D-B522-45F9-BDA1-12C45D357490}">
          <x15:cacheHierarchy aggregatedColumn="4"/>
        </ext>
      </extLst>
    </cacheHierarchy>
    <cacheHierarchy uniqueName="[Measures].[Sum of Wait_Time]" caption="Sum of Wait_Time" measure="1" displayFolder="" measureGroup="Raw Data" count="0" hidden="1">
      <extLst>
        <ext xmlns:x15="http://schemas.microsoft.com/office/spreadsheetml/2010/11/main" uri="{B97F6D7D-B522-45F9-BDA1-12C45D357490}">
          <x15:cacheHierarchy aggregatedColumn="14"/>
        </ext>
      </extLst>
    </cacheHierarchy>
    <cacheHierarchy uniqueName="[Measures].[Average of Wait_Time]" caption="Average of Wait_Time" measure="1" displayFolder="" measureGroup="Raw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Satisfaction_Score]" caption="Sum of Satisfaction_Score" measure="1" displayFolder="" measureGroup="Raw Data" count="0" hidden="1">
      <extLst>
        <ext xmlns:x15="http://schemas.microsoft.com/office/spreadsheetml/2010/11/main" uri="{B97F6D7D-B522-45F9-BDA1-12C45D357490}">
          <x15:cacheHierarchy aggregatedColumn="13"/>
        </ext>
      </extLst>
    </cacheHierarchy>
    <cacheHierarchy uniqueName="[Measures].[Average of Satisfaction_Score]" caption="Average of Satisfaction_Score" measure="1" displayFolder="" measureGroup="Raw Data" count="0" hidden="1">
      <extLst>
        <ext xmlns:x15="http://schemas.microsoft.com/office/spreadsheetml/2010/11/main" uri="{B97F6D7D-B522-45F9-BDA1-12C45D357490}">
          <x15:cacheHierarchy aggregatedColumn="13"/>
        </ext>
      </extLst>
    </cacheHierarchy>
    <cacheHierarchy uniqueName="[Measures].[Count of Date (Year)]" caption="Count of Date (Year)" measure="1" displayFolder="" measureGroup="Date" count="0" hidden="1">
      <extLst>
        <ext xmlns:x15="http://schemas.microsoft.com/office/spreadsheetml/2010/11/main" uri="{B97F6D7D-B522-45F9-BDA1-12C45D357490}">
          <x15:cacheHierarchy aggregatedColumn="1"/>
        </ext>
      </extLst>
    </cacheHierarchy>
    <cacheHierarchy uniqueName="[Measures].[Count of Date (Quarter)]" caption="Count of Date (Quarter)" measure="1" displayFolder="" measureGroup="Date" count="0" hidden="1">
      <extLst>
        <ext xmlns:x15="http://schemas.microsoft.com/office/spreadsheetml/2010/11/main" uri="{B97F6D7D-B522-45F9-BDA1-12C45D357490}">
          <x15:cacheHierarchy aggregatedColumn="2"/>
        </ext>
      </extLst>
    </cacheHierarchy>
    <cacheHierarchy uniqueName="[Measures].[Count of Date (Month)]" caption="Count of Date (Month)" measure="1" displayFolder="" measureGroup="Date" count="0" hidden="1">
      <extLst>
        <ext xmlns:x15="http://schemas.microsoft.com/office/spreadsheetml/2010/11/main" uri="{B97F6D7D-B522-45F9-BDA1-12C45D357490}">
          <x15:cacheHierarchy aggregatedColumn="3"/>
        </ext>
      </extLst>
    </cacheHierarchy>
    <cacheHierarchy uniqueName="[Measures].[Count of Date]" caption="Count of Date" measure="1" displayFolder="" measureGroup="Date" count="0" hidden="1">
      <extLst>
        <ext xmlns:x15="http://schemas.microsoft.com/office/spreadsheetml/2010/11/main" uri="{B97F6D7D-B522-45F9-BDA1-12C45D357490}">
          <x15:cacheHierarchy aggregatedColumn="0"/>
        </ext>
      </extLst>
    </cacheHierarchy>
    <cacheHierarchy uniqueName="[Measures].[Count of Patient Attend Time]" caption="Count of Patient Attend Time" measure="1" displayFolder="" measureGroup="Raw Data" count="0" hidden="1">
      <extLst>
        <ext xmlns:x15="http://schemas.microsoft.com/office/spreadsheetml/2010/11/main" uri="{B97F6D7D-B522-45F9-BDA1-12C45D357490}">
          <x15:cacheHierarchy aggregatedColumn="16"/>
        </ext>
      </extLst>
    </cacheHierarchy>
    <cacheHierarchy uniqueName="[Measures].[Count of Admission_Flag]" caption="Count of Admission_Flag" measure="1" displayFolder="" measureGroup="Raw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Raw Data"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Raw Data" count="0" hidden="1">
      <extLst>
        <ext xmlns:x15="http://schemas.microsoft.com/office/spreadsheetml/2010/11/main" uri="{B97F6D7D-B522-45F9-BDA1-12C45D357490}">
          <x15:cacheHierarchy aggregatedColumn="9"/>
        </ext>
      </extLst>
    </cacheHierarchy>
    <cacheHierarchy uniqueName="[Measures].[Count of Gender]" caption="Count of Gender" measure="1" displayFolder="" measureGroup="Raw Data" count="0" hidden="1">
      <extLst>
        <ext xmlns:x15="http://schemas.microsoft.com/office/spreadsheetml/2010/11/main" uri="{B97F6D7D-B522-45F9-BDA1-12C45D357490}">
          <x15:cacheHierarchy aggregatedColumn="8"/>
        </ext>
      </extLst>
    </cacheHierarchy>
    <cacheHierarchy uniqueName="[Measures].[Count of Departmental_Referral]" caption="Count of Departmental_Referral" measure="1" displayFolder="" measureGroup="Raw Data" count="0" hidden="1">
      <extLst>
        <ext xmlns:x15="http://schemas.microsoft.com/office/spreadsheetml/2010/11/main" uri="{B97F6D7D-B522-45F9-BDA1-12C45D357490}">
          <x15:cacheHierarchy aggregatedColumn="11"/>
        </ext>
      </extLst>
    </cacheHierarchy>
  </cacheHierarchies>
  <kpis count="0"/>
  <dimensions count="3">
    <dimension name="Date" uniqueName="[Date]" caption="Date"/>
    <dimension measure="1" name="Measures" uniqueName="[Measures]" caption="Measures"/>
    <dimension name="Raw Data" uniqueName="[Raw Data]" caption="Raw Data"/>
  </dimensions>
  <measureGroups count="2">
    <measureGroup name="Date" caption="Date"/>
    <measureGroup name="Raw Data" caption="Raw 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3.834107754628" createdVersion="5" refreshedVersion="8" minRefreshableVersion="3" recordCount="0" supportSubquery="1" supportAdvancedDrill="1" xr:uid="{C328F282-A132-4DF7-985C-8C53B0144C56}">
  <cacheSource type="external" connectionId="3"/>
  <cacheFields count="4">
    <cacheField name="[Date].[Date].[Date]" caption="Date" numFmtId="0" level="1">
      <sharedItems containsSemiMixedTypes="0" containsNonDate="0" containsDate="1" containsString="0" minDate="2024-01-01T00:00:00" maxDate="2025-12-01T00:00:00" count="244">
        <d v="2024-01-01T00:00:00"/>
        <d v="2024-01-03T00:00:00"/>
        <d v="2024-01-08T00:00:00"/>
        <d v="2024-01-13T00:00:00"/>
        <d v="2024-01-15T00:00:00"/>
        <d v="2024-01-21T00:00:00"/>
        <d v="2024-01-31T00:00:00"/>
        <d v="2024-02-28T00:00:00"/>
        <d v="2024-03-03T00:00:00"/>
        <d v="2024-03-06T00:00:00"/>
        <d v="2024-03-08T00:00:00"/>
        <d v="2024-03-13T00:00:00"/>
        <d v="2024-03-14T00:00:00"/>
        <d v="2024-03-17T00:00:00"/>
        <d v="2024-03-19T00:00:00"/>
        <d v="2024-03-21T00:00:00"/>
        <d v="2024-03-22T00:00:00"/>
        <d v="2024-03-24T00:00:00"/>
        <d v="2024-03-25T00:00:00"/>
        <d v="2024-03-26T00:00:00"/>
        <d v="2024-03-27T00:00:00"/>
        <d v="2024-03-28T00:00:00"/>
        <d v="2024-03-29T00:00:00"/>
        <d v="2024-03-31T00:00:00"/>
        <d v="2024-04-03T00:00:00"/>
        <d v="2024-04-04T00:00:00"/>
        <d v="2024-04-13T00:00:00"/>
        <d v="2024-04-23T00:00:00"/>
        <d v="2024-04-25T00:00:00"/>
        <d v="2024-04-27T00:00:00"/>
        <d v="2024-05-03T00:00:00"/>
        <d v="2024-05-08T00:00:00"/>
        <d v="2024-05-13T00:00:00"/>
        <d v="2024-05-14T00:00:00"/>
        <d v="2024-05-17T00:00:00"/>
        <d v="2024-05-19T00:00:00"/>
        <d v="2024-05-21T00:00:00"/>
        <d v="2024-05-24T00:00:00"/>
        <d v="2024-05-25T00:00:00"/>
        <d v="2024-05-26T00:00:00"/>
        <d v="2024-05-27T00:00:00"/>
        <d v="2024-05-28T00:00:00"/>
        <d v="2024-05-29T00:00:00"/>
        <d v="2024-05-31T00:00:00"/>
        <d v="2024-06-03T00:00:00"/>
        <d v="2024-06-08T00:00:00"/>
        <d v="2024-06-13T00:00:00"/>
        <d v="2024-06-14T00:00:00"/>
        <d v="2024-06-17T00:00:00"/>
        <d v="2024-06-19T00:00:00"/>
        <d v="2024-06-21T00:00:00"/>
        <d v="2024-06-24T00:00:00"/>
        <d v="2024-06-25T00:00:00"/>
        <d v="2024-06-26T00:00:00"/>
        <d v="2024-06-27T00:00:00"/>
        <d v="2024-06-28T00:00:00"/>
        <d v="2024-06-29T00:00:00"/>
        <d v="2024-07-17T00:00:00"/>
        <d v="2024-07-19T00:00:00"/>
        <d v="2024-07-26T00:00:00"/>
        <d v="2024-07-29T00:00:00"/>
        <d v="2024-08-03T00:00:00"/>
        <d v="2024-08-07T00:00:00"/>
        <d v="2024-08-08T00:00:00"/>
        <d v="2024-08-13T00:00:00"/>
        <d v="2024-08-14T00:00:00"/>
        <d v="2024-08-17T00:00:00"/>
        <d v="2024-08-19T00:00:00"/>
        <d v="2024-08-21T00:00:00"/>
        <d v="2024-08-24T00:00:00"/>
        <d v="2024-08-25T00:00:00"/>
        <d v="2024-08-26T00:00:00"/>
        <d v="2024-08-27T00:00:00"/>
        <d v="2024-08-28T00:00:00"/>
        <d v="2024-08-29T00:00:00"/>
        <d v="2024-08-30T00:00:00"/>
        <d v="2024-08-31T00:00:00"/>
        <d v="2024-09-03T00:00:00"/>
        <d v="2024-09-08T00:00:00"/>
        <d v="2024-09-13T00:00:00"/>
        <d v="2024-09-14T00:00:00"/>
        <d v="2024-09-19T00:00:00"/>
        <d v="2024-09-21T00:00:00"/>
        <d v="2024-09-24T00:00:00"/>
        <d v="2024-09-25T00:00:00"/>
        <d v="2024-09-27T00:00:00"/>
        <d v="2024-09-28T00:00:00"/>
        <d v="2024-09-29T00:00:00"/>
        <d v="2024-10-03T00:00:00"/>
        <d v="2024-10-08T00:00:00"/>
        <d v="2024-10-09T00:00:00"/>
        <d v="2024-10-13T00:00:00"/>
        <d v="2024-10-14T00:00:00"/>
        <d v="2024-10-17T00:00:00"/>
        <d v="2024-10-19T00:00:00"/>
        <d v="2024-10-24T00:00:00"/>
        <d v="2024-10-25T00:00:00"/>
        <d v="2024-10-26T00:00:00"/>
        <d v="2024-10-27T00:00:00"/>
        <d v="2024-10-28T00:00:00"/>
        <d v="2024-10-29T00:00:00"/>
        <d v="2024-10-31T00:00:00"/>
        <d v="2024-11-14T00:00:00"/>
        <d v="2024-12-02T00:00:00"/>
        <d v="2024-12-03T00:00:00"/>
        <d v="2024-12-08T00:00:00"/>
        <d v="2024-12-09T00:00:00"/>
        <d v="2024-12-11T00:00:00"/>
        <d v="2024-12-13T00:00:00"/>
        <d v="2024-12-14T00:00:00"/>
        <d v="2024-12-17T00:00:00"/>
        <d v="2024-12-19T00:00:00"/>
        <d v="2024-12-21T00:00:00"/>
        <d v="2024-12-24T00:00:00"/>
        <d v="2024-12-25T00:00:00"/>
        <d v="2024-12-26T00:00:00"/>
        <d v="2024-12-27T00:00:00"/>
        <d v="2024-12-28T00:00:00"/>
        <d v="2024-12-29T00:00:00"/>
        <d v="2024-12-31T00:00:00"/>
        <d v="2025-01-04T00:00:00"/>
        <d v="2025-01-06T00:00:00"/>
        <d v="2025-01-07T00:00:00"/>
        <d v="2025-01-11T00:00:00"/>
        <d v="2025-01-12T00:00:00"/>
        <d v="2025-01-16T00:00:00"/>
        <d v="2025-01-17T00:00:00"/>
        <d v="2025-01-24T00:00:00"/>
        <d v="2025-01-30T00:00:00"/>
        <d v="2025-02-02T00:00:00"/>
        <d v="2025-02-03T00:00:00"/>
        <d v="2025-02-07T00:00:00"/>
        <d v="2025-02-09T00:00:00"/>
        <d v="2025-02-10T00:00:00"/>
        <d v="2025-02-11T00:00:00"/>
        <d v="2025-02-12T00:00:00"/>
        <d v="2025-02-15T00:00:00"/>
        <d v="2025-02-16T00:00:00"/>
        <d v="2025-02-18T00:00:00"/>
        <d v="2025-02-20T00:00:00"/>
        <d v="2025-02-22T00:00:00"/>
        <d v="2025-03-02T00:00:00"/>
        <d v="2025-03-07T00:00:00"/>
        <d v="2025-03-10T00:00:00"/>
        <d v="2025-03-11T00:00:00"/>
        <d v="2025-03-16T00:00:00"/>
        <d v="2025-04-02T00:00:00"/>
        <d v="2025-04-04T00:00:00"/>
        <d v="2025-04-06T00:00:00"/>
        <d v="2025-04-07T00:00:00"/>
        <d v="2025-04-09T00:00:00"/>
        <d v="2025-04-10T00:00:00"/>
        <d v="2025-04-11T00:00:00"/>
        <d v="2025-04-12T00:00:00"/>
        <d v="2025-04-15T00:00:00"/>
        <d v="2025-04-17T00:00:00"/>
        <d v="2025-04-18T00:00:00"/>
        <d v="2025-04-20T00:00:00"/>
        <d v="2025-04-22T00:00:00"/>
        <d v="2025-04-30T00:00:00"/>
        <d v="2025-05-02T00:00:00"/>
        <d v="2025-05-04T00:00:00"/>
        <d v="2025-05-05T00:00:00"/>
        <d v="2025-05-06T00:00:00"/>
        <d v="2025-05-09T00:00:00"/>
        <d v="2025-05-10T00:00:00"/>
        <d v="2025-05-12T00:00:00"/>
        <d v="2025-05-15T00:00:00"/>
        <d v="2025-05-16T00:00:00"/>
        <d v="2025-05-18T00:00:00"/>
        <d v="2025-05-20T00:00:00"/>
        <d v="2025-05-22T00:00:00"/>
        <d v="2025-05-30T00:00:00"/>
        <d v="2025-06-11T00:00:00"/>
        <d v="2025-06-16T00:00:00"/>
        <d v="2025-06-18T00:00:00"/>
        <d v="2025-06-20T00:00:00"/>
        <d v="2025-06-22T00:00:00"/>
        <d v="2025-06-27T00:00:00"/>
        <d v="2025-07-02T00:00:00"/>
        <d v="2025-07-04T00:00:00"/>
        <d v="2025-07-06T00:00:00"/>
        <d v="2025-07-07T00:00:00"/>
        <d v="2025-07-08T00:00:00"/>
        <d v="2025-07-09T00:00:00"/>
        <d v="2025-07-10T00:00:00"/>
        <d v="2025-07-11T00:00:00"/>
        <d v="2025-07-12T00:00:00"/>
        <d v="2025-07-15T00:00:00"/>
        <d v="2025-07-16T00:00:00"/>
        <d v="2025-07-18T00:00:00"/>
        <d v="2025-07-20T00:00:00"/>
        <d v="2025-07-22T00:00:00"/>
        <d v="2025-07-30T00:00:00"/>
        <d v="2025-07-31T00:00:00"/>
        <d v="2025-08-06T00:00:00"/>
        <d v="2025-08-18T00:00:00"/>
        <d v="2025-08-22T00:00:00"/>
        <d v="2025-09-02T00:00:00"/>
        <d v="2025-09-04T00:00:00"/>
        <d v="2025-09-06T00:00:00"/>
        <d v="2025-09-07T00:00:00"/>
        <d v="2025-09-09T00:00:00"/>
        <d v="2025-09-10T00:00:00"/>
        <d v="2025-09-11T00:00:00"/>
        <d v="2025-09-12T00:00:00"/>
        <d v="2025-09-15T00:00:00"/>
        <d v="2025-09-16T00:00:00"/>
        <d v="2025-09-18T00:00:00"/>
        <d v="2025-09-20T00:00:00"/>
        <d v="2025-09-22T00:00:00"/>
        <d v="2025-09-28T00:00:00"/>
        <d v="2025-09-30T00:00:00"/>
        <d v="2025-10-02T00:00:00"/>
        <d v="2025-10-04T00:00:00"/>
        <d v="2025-10-05T00:00:00"/>
        <d v="2025-10-06T00:00:00"/>
        <d v="2025-10-07T00:00:00"/>
        <d v="2025-10-09T00:00:00"/>
        <d v="2025-10-10T00:00:00"/>
        <d v="2025-10-11T00:00:00"/>
        <d v="2025-10-12T00:00:00"/>
        <d v="2025-10-15T00:00:00"/>
        <d v="2025-10-16T00:00:00"/>
        <d v="2025-10-18T00:00:00"/>
        <d v="2025-10-20T00:00:00"/>
        <d v="2025-10-22T00:00:00"/>
        <d v="2025-10-30T00:00:00"/>
        <d v="2025-11-02T00:00:00"/>
        <d v="2025-11-04T00:00:00"/>
        <d v="2025-11-06T00:00:00"/>
        <d v="2025-11-07T00:00:00"/>
        <d v="2025-11-09T00:00:00"/>
        <d v="2025-11-10T00:00:00"/>
        <d v="2025-11-11T00:00:00"/>
        <d v="2025-11-12T00:00:00"/>
        <d v="2025-11-15T00:00:00"/>
        <d v="2025-11-16T00:00:00"/>
        <d v="2025-11-18T00:00:00"/>
        <d v="2025-11-20T00:00:00"/>
        <d v="2025-11-21T00:00:00"/>
        <d v="2025-11-22T00:00:00"/>
        <d v="2025-11-25T00:00:00"/>
        <d v="2025-11-30T00:00:00"/>
      </sharedItems>
    </cacheField>
    <cacheField name="[Measures].[Average of Satisfaction_Score]" caption="Average of Satisfaction_Score" numFmtId="0" hierarchy="25" level="32767"/>
    <cacheField name="[Date].[Date (Month)].[Date (Month)]" caption="Date (Month)" numFmtId="0" hierarchy="3" level="1">
      <sharedItems containsSemiMixedTypes="0" containsNonDate="0" containsString="0"/>
    </cacheField>
    <cacheField name="[Date].[Date (Year)].[Date (Year)]" caption="Date (Year)" numFmtId="0" hierarchy="1" level="1">
      <sharedItems containsSemiMixedTypes="0" containsNonDate="0" containsString="0"/>
    </cacheField>
  </cacheFields>
  <cacheHierarchies count="36">
    <cacheHierarchy uniqueName="[Date].[Date]" caption="Date" attribute="1" time="1" defaultMemberUniqueName="[Date].[Date].[All]" allUniqueName="[Date].[Date].[All]" dimensionUniqueName="[Date]" displayFolder="" count="2" memberValueDatatype="7" unbalanced="0">
      <fieldsUsage count="2">
        <fieldUsage x="-1"/>
        <fieldUsage x="0"/>
      </fieldsUsage>
    </cacheHierarchy>
    <cacheHierarchy uniqueName="[Date].[Date (Year)]" caption="Date (Year)" attribute="1" defaultMemberUniqueName="[Date].[Date (Year)].[All]" allUniqueName="[Date].[Date (Year)].[All]" dimensionUniqueName="[Date]" displayFolder="" count="2" memberValueDatatype="130" unbalanced="0">
      <fieldsUsage count="2">
        <fieldUsage x="-1"/>
        <fieldUsage x="3"/>
      </fieldsUsage>
    </cacheHierarchy>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2" memberValueDatatype="130" unbalanced="0">
      <fieldsUsage count="2">
        <fieldUsage x="-1"/>
        <fieldUsage x="2"/>
      </fieldsUsage>
    </cacheHierarchy>
    <cacheHierarchy uniqueName="[Raw Data].[Patient_ID]" caption="Patient_ID" attribute="1" defaultMemberUniqueName="[Raw Data].[Patient_ID].[All]" allUniqueName="[Raw Data].[Patient_ID].[All]" dimensionUniqueName="[Raw Data]" displayFolder="" count="0" memberValueDatatype="130" unbalanced="0"/>
    <cacheHierarchy uniqueName="[Raw Data].[Admission_Date]" caption="Admission_Date" attribute="1" time="1" defaultMemberUniqueName="[Raw Data].[Admission_Date].[All]" allUniqueName="[Raw Data].[Admission_Date].[All]" dimensionUniqueName="[Raw Data]" displayFolder="" count="0" memberValueDatatype="7" unbalanced="0"/>
    <cacheHierarchy uniqueName="[Raw Data].[First_Name]" caption="First_Name" attribute="1" defaultMemberUniqueName="[Raw Data].[First_Name].[All]" allUniqueName="[Raw Data].[First_Name].[All]" dimensionUniqueName="[Raw Data]" displayFolder="" count="0" memberValueDatatype="130" unbalanced="0"/>
    <cacheHierarchy uniqueName="[Raw Data].[Last_Name]" caption="Last_Name" attribute="1" defaultMemberUniqueName="[Raw Data].[Last_Name].[All]" allUniqueName="[Raw Data].[Last_Name].[All]" dimensionUniqueName="[Raw Data]" displayFolder="" count="0" memberValueDatatype="130" unbalanced="0"/>
    <cacheHierarchy uniqueName="[Raw Data].[Gender]" caption="Gender" attribute="1" defaultMemberUniqueName="[Raw Data].[Gender].[All]" allUniqueName="[Raw Data].[Gender].[All]" dimensionUniqueName="[Raw Data]" displayFolder="" count="0" memberValueDatatype="130" unbalanced="0"/>
    <cacheHierarchy uniqueName="[Raw Data].[Age]" caption="Age" attribute="1" defaultMemberUniqueName="[Raw Data].[Age].[All]" allUniqueName="[Raw Data].[Age].[All]" dimensionUniqueName="[Raw Data]" displayFolder="" count="0" memberValueDatatype="20" unbalanced="0"/>
    <cacheHierarchy uniqueName="[Raw Data].[Race]" caption="Race" attribute="1" defaultMemberUniqueName="[Raw Data].[Race].[All]" allUniqueName="[Raw Data].[Race].[All]" dimensionUniqueName="[Raw Data]" displayFolder="" count="0" memberValueDatatype="130" unbalanced="0"/>
    <cacheHierarchy uniqueName="[Raw Data].[Departmental_Referral]" caption="Departmental_Referral" attribute="1" defaultMemberUniqueName="[Raw Data].[Departmental_Referral].[All]" allUniqueName="[Raw Data].[Departmental_Referral].[All]" dimensionUniqueName="[Raw Data]" displayFolder="" count="0" memberValueDatatype="130" unbalanced="0"/>
    <cacheHierarchy uniqueName="[Raw Data].[Admission_Flag]" caption="Admission_Flag" attribute="1" defaultMemberUniqueName="[Raw Data].[Admission_Flag].[All]" allUniqueName="[Raw Data].[Admission_Flag].[All]" dimensionUniqueName="[Raw Data]" displayFolder="" count="0" memberValueDatatype="130" unbalanced="0"/>
    <cacheHierarchy uniqueName="[Raw Data].[Satisfaction_Score]" caption="Satisfaction_Score" attribute="1" defaultMemberUniqueName="[Raw Data].[Satisfaction_Score].[All]" allUniqueName="[Raw Data].[Satisfaction_Score].[All]" dimensionUniqueName="[Raw Data]" displayFolder="" count="0" memberValueDatatype="20" unbalanced="0"/>
    <cacheHierarchy uniqueName="[Raw Data].[Wait_Time]" caption="Wait_Time" attribute="1" defaultMemberUniqueName="[Raw Data].[Wait_Time].[All]" allUniqueName="[Raw Data].[Wait_Time].[All]" dimensionUniqueName="[Raw Data]" displayFolder="" count="0" memberValueDatatype="20" unbalanced="0"/>
    <cacheHierarchy uniqueName="[Raw Data].[Age Group]" caption="Age Group" attribute="1" defaultMemberUniqueName="[Raw Data].[Age Group].[All]" allUniqueName="[Raw Data].[Age Group].[All]" dimensionUniqueName="[Raw Data]" displayFolder="" count="0" memberValueDatatype="130" unbalanced="0"/>
    <cacheHierarchy uniqueName="[Raw Data].[Patient Attend Time]" caption="Patient Attend Time" attribute="1" defaultMemberUniqueName="[Raw Data].[Patient Attend Time].[All]" allUniqueName="[Raw Data].[Patient Attend Time].[All]" dimensionUniqueName="[Raw Data]"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__XL_Count Raw Data]" caption="__XL_Count Raw Data" measure="1" displayFolder="" measureGroup="Raw 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Patient_ID]" caption="Count of Patient_ID" measure="1" displayFolder="" measureGroup="Raw Data" count="0" hidden="1">
      <extLst>
        <ext xmlns:x15="http://schemas.microsoft.com/office/spreadsheetml/2010/11/main" uri="{B97F6D7D-B522-45F9-BDA1-12C45D357490}">
          <x15:cacheHierarchy aggregatedColumn="4"/>
        </ext>
      </extLst>
    </cacheHierarchy>
    <cacheHierarchy uniqueName="[Measures].[Sum of Wait_Time]" caption="Sum of Wait_Time" measure="1" displayFolder="" measureGroup="Raw Data" count="0" hidden="1">
      <extLst>
        <ext xmlns:x15="http://schemas.microsoft.com/office/spreadsheetml/2010/11/main" uri="{B97F6D7D-B522-45F9-BDA1-12C45D357490}">
          <x15:cacheHierarchy aggregatedColumn="14"/>
        </ext>
      </extLst>
    </cacheHierarchy>
    <cacheHierarchy uniqueName="[Measures].[Average of Wait_Time]" caption="Average of Wait_Time" measure="1" displayFolder="" measureGroup="Raw Data" count="0" hidden="1">
      <extLst>
        <ext xmlns:x15="http://schemas.microsoft.com/office/spreadsheetml/2010/11/main" uri="{B97F6D7D-B522-45F9-BDA1-12C45D357490}">
          <x15:cacheHierarchy aggregatedColumn="14"/>
        </ext>
      </extLst>
    </cacheHierarchy>
    <cacheHierarchy uniqueName="[Measures].[Sum of Satisfaction_Score]" caption="Sum of Satisfaction_Score" measure="1" displayFolder="" measureGroup="Raw Data" count="0" hidden="1">
      <extLst>
        <ext xmlns:x15="http://schemas.microsoft.com/office/spreadsheetml/2010/11/main" uri="{B97F6D7D-B522-45F9-BDA1-12C45D357490}">
          <x15:cacheHierarchy aggregatedColumn="13"/>
        </ext>
      </extLst>
    </cacheHierarchy>
    <cacheHierarchy uniqueName="[Measures].[Average of Satisfaction_Score]" caption="Average of Satisfaction_Score" measure="1" displayFolder="" measureGroup="Raw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Date (Year)]" caption="Count of Date (Year)" measure="1" displayFolder="" measureGroup="Date" count="0" hidden="1">
      <extLst>
        <ext xmlns:x15="http://schemas.microsoft.com/office/spreadsheetml/2010/11/main" uri="{B97F6D7D-B522-45F9-BDA1-12C45D357490}">
          <x15:cacheHierarchy aggregatedColumn="1"/>
        </ext>
      </extLst>
    </cacheHierarchy>
    <cacheHierarchy uniqueName="[Measures].[Count of Date (Quarter)]" caption="Count of Date (Quarter)" measure="1" displayFolder="" measureGroup="Date" count="0" hidden="1">
      <extLst>
        <ext xmlns:x15="http://schemas.microsoft.com/office/spreadsheetml/2010/11/main" uri="{B97F6D7D-B522-45F9-BDA1-12C45D357490}">
          <x15:cacheHierarchy aggregatedColumn="2"/>
        </ext>
      </extLst>
    </cacheHierarchy>
    <cacheHierarchy uniqueName="[Measures].[Count of Date (Month)]" caption="Count of Date (Month)" measure="1" displayFolder="" measureGroup="Date" count="0" hidden="1">
      <extLst>
        <ext xmlns:x15="http://schemas.microsoft.com/office/spreadsheetml/2010/11/main" uri="{B97F6D7D-B522-45F9-BDA1-12C45D357490}">
          <x15:cacheHierarchy aggregatedColumn="3"/>
        </ext>
      </extLst>
    </cacheHierarchy>
    <cacheHierarchy uniqueName="[Measures].[Count of Date]" caption="Count of Date" measure="1" displayFolder="" measureGroup="Date" count="0" hidden="1">
      <extLst>
        <ext xmlns:x15="http://schemas.microsoft.com/office/spreadsheetml/2010/11/main" uri="{B97F6D7D-B522-45F9-BDA1-12C45D357490}">
          <x15:cacheHierarchy aggregatedColumn="0"/>
        </ext>
      </extLst>
    </cacheHierarchy>
    <cacheHierarchy uniqueName="[Measures].[Count of Patient Attend Time]" caption="Count of Patient Attend Time" measure="1" displayFolder="" measureGroup="Raw Data" count="0" hidden="1">
      <extLst>
        <ext xmlns:x15="http://schemas.microsoft.com/office/spreadsheetml/2010/11/main" uri="{B97F6D7D-B522-45F9-BDA1-12C45D357490}">
          <x15:cacheHierarchy aggregatedColumn="16"/>
        </ext>
      </extLst>
    </cacheHierarchy>
    <cacheHierarchy uniqueName="[Measures].[Count of Admission_Flag]" caption="Count of Admission_Flag" measure="1" displayFolder="" measureGroup="Raw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Raw Data"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Raw Data" count="0" hidden="1">
      <extLst>
        <ext xmlns:x15="http://schemas.microsoft.com/office/spreadsheetml/2010/11/main" uri="{B97F6D7D-B522-45F9-BDA1-12C45D357490}">
          <x15:cacheHierarchy aggregatedColumn="9"/>
        </ext>
      </extLst>
    </cacheHierarchy>
    <cacheHierarchy uniqueName="[Measures].[Count of Gender]" caption="Count of Gender" measure="1" displayFolder="" measureGroup="Raw Data" count="0" hidden="1">
      <extLst>
        <ext xmlns:x15="http://schemas.microsoft.com/office/spreadsheetml/2010/11/main" uri="{B97F6D7D-B522-45F9-BDA1-12C45D357490}">
          <x15:cacheHierarchy aggregatedColumn="8"/>
        </ext>
      </extLst>
    </cacheHierarchy>
    <cacheHierarchy uniqueName="[Measures].[Count of Departmental_Referral]" caption="Count of Departmental_Referral" measure="1" displayFolder="" measureGroup="Raw Data" count="0" hidden="1">
      <extLst>
        <ext xmlns:x15="http://schemas.microsoft.com/office/spreadsheetml/2010/11/main" uri="{B97F6D7D-B522-45F9-BDA1-12C45D357490}">
          <x15:cacheHierarchy aggregatedColumn="11"/>
        </ext>
      </extLst>
    </cacheHierarchy>
  </cacheHierarchies>
  <kpis count="0"/>
  <dimensions count="3">
    <dimension name="Date" uniqueName="[Date]" caption="Date"/>
    <dimension measure="1" name="Measures" uniqueName="[Measures]" caption="Measures"/>
    <dimension name="Raw Data" uniqueName="[Raw Data]" caption="Raw Data"/>
  </dimensions>
  <measureGroups count="2">
    <measureGroup name="Date" caption="Date"/>
    <measureGroup name="Raw Data" caption="Raw 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3.834109374999" createdVersion="5" refreshedVersion="8" minRefreshableVersion="3" recordCount="0" supportSubquery="1" supportAdvancedDrill="1" xr:uid="{62CFD758-EA9B-4CD6-8FA6-9DADA53D6FA8}">
  <cacheSource type="external" connectionId="3"/>
  <cacheFields count="4">
    <cacheField name="[Raw Data].[Admission_Flag].[Admission_Flag]" caption="Admission_Flag" numFmtId="0" hierarchy="12" level="1">
      <sharedItems count="2">
        <s v="Admitted"/>
        <s v="Not Admitted"/>
      </sharedItems>
    </cacheField>
    <cacheField name="[Measures].[Count of Admission_Flag]" caption="Count of Admission_Flag" numFmtId="0" hierarchy="31" level="32767"/>
    <cacheField name="[Date].[Date (Month)].[Date (Month)]" caption="Date (Month)" numFmtId="0" hierarchy="3" level="1">
      <sharedItems containsSemiMixedTypes="0" containsNonDate="0" containsString="0"/>
    </cacheField>
    <cacheField name="[Date].[Date (Year)].[Date (Year)]" caption="Date (Year)" numFmtId="0" hierarchy="1" level="1">
      <sharedItems containsSemiMixedTypes="0" containsNonDate="0" containsString="0"/>
    </cacheField>
  </cacheFields>
  <cacheHierarchies count="36">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2" memberValueDatatype="130" unbalanced="0">
      <fieldsUsage count="2">
        <fieldUsage x="-1"/>
        <fieldUsage x="3"/>
      </fieldsUsage>
    </cacheHierarchy>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2" memberValueDatatype="130" unbalanced="0">
      <fieldsUsage count="2">
        <fieldUsage x="-1"/>
        <fieldUsage x="2"/>
      </fieldsUsage>
    </cacheHierarchy>
    <cacheHierarchy uniqueName="[Raw Data].[Patient_ID]" caption="Patient_ID" attribute="1" defaultMemberUniqueName="[Raw Data].[Patient_ID].[All]" allUniqueName="[Raw Data].[Patient_ID].[All]" dimensionUniqueName="[Raw Data]" displayFolder="" count="0" memberValueDatatype="130" unbalanced="0"/>
    <cacheHierarchy uniqueName="[Raw Data].[Admission_Date]" caption="Admission_Date" attribute="1" time="1" defaultMemberUniqueName="[Raw Data].[Admission_Date].[All]" allUniqueName="[Raw Data].[Admission_Date].[All]" dimensionUniqueName="[Raw Data]" displayFolder="" count="0" memberValueDatatype="7" unbalanced="0"/>
    <cacheHierarchy uniqueName="[Raw Data].[First_Name]" caption="First_Name" attribute="1" defaultMemberUniqueName="[Raw Data].[First_Name].[All]" allUniqueName="[Raw Data].[First_Name].[All]" dimensionUniqueName="[Raw Data]" displayFolder="" count="0" memberValueDatatype="130" unbalanced="0"/>
    <cacheHierarchy uniqueName="[Raw Data].[Last_Name]" caption="Last_Name" attribute="1" defaultMemberUniqueName="[Raw Data].[Last_Name].[All]" allUniqueName="[Raw Data].[Last_Name].[All]" dimensionUniqueName="[Raw Data]" displayFolder="" count="0" memberValueDatatype="130" unbalanced="0"/>
    <cacheHierarchy uniqueName="[Raw Data].[Gender]" caption="Gender" attribute="1" defaultMemberUniqueName="[Raw Data].[Gender].[All]" allUniqueName="[Raw Data].[Gender].[All]" dimensionUniqueName="[Raw Data]" displayFolder="" count="0" memberValueDatatype="130" unbalanced="0"/>
    <cacheHierarchy uniqueName="[Raw Data].[Age]" caption="Age" attribute="1" defaultMemberUniqueName="[Raw Data].[Age].[All]" allUniqueName="[Raw Data].[Age].[All]" dimensionUniqueName="[Raw Data]" displayFolder="" count="0" memberValueDatatype="20" unbalanced="0"/>
    <cacheHierarchy uniqueName="[Raw Data].[Race]" caption="Race" attribute="1" defaultMemberUniqueName="[Raw Data].[Race].[All]" allUniqueName="[Raw Data].[Race].[All]" dimensionUniqueName="[Raw Data]" displayFolder="" count="0" memberValueDatatype="130" unbalanced="0"/>
    <cacheHierarchy uniqueName="[Raw Data].[Departmental_Referral]" caption="Departmental_Referral" attribute="1" defaultMemberUniqueName="[Raw Data].[Departmental_Referral].[All]" allUniqueName="[Raw Data].[Departmental_Referral].[All]" dimensionUniqueName="[Raw Data]" displayFolder="" count="0" memberValueDatatype="130" unbalanced="0"/>
    <cacheHierarchy uniqueName="[Raw Data].[Admission_Flag]" caption="Admission_Flag" attribute="1" defaultMemberUniqueName="[Raw Data].[Admission_Flag].[All]" allUniqueName="[Raw Data].[Admission_Flag].[All]" dimensionUniqueName="[Raw Data]" displayFolder="" count="2" memberValueDatatype="130" unbalanced="0">
      <fieldsUsage count="2">
        <fieldUsage x="-1"/>
        <fieldUsage x="0"/>
      </fieldsUsage>
    </cacheHierarchy>
    <cacheHierarchy uniqueName="[Raw Data].[Satisfaction_Score]" caption="Satisfaction_Score" attribute="1" defaultMemberUniqueName="[Raw Data].[Satisfaction_Score].[All]" allUniqueName="[Raw Data].[Satisfaction_Score].[All]" dimensionUniqueName="[Raw Data]" displayFolder="" count="0" memberValueDatatype="20" unbalanced="0"/>
    <cacheHierarchy uniqueName="[Raw Data].[Wait_Time]" caption="Wait_Time" attribute="1" defaultMemberUniqueName="[Raw Data].[Wait_Time].[All]" allUniqueName="[Raw Data].[Wait_Time].[All]" dimensionUniqueName="[Raw Data]" displayFolder="" count="0" memberValueDatatype="20" unbalanced="0"/>
    <cacheHierarchy uniqueName="[Raw Data].[Age Group]" caption="Age Group" attribute="1" defaultMemberUniqueName="[Raw Data].[Age Group].[All]" allUniqueName="[Raw Data].[Age Group].[All]" dimensionUniqueName="[Raw Data]" displayFolder="" count="0" memberValueDatatype="130" unbalanced="0"/>
    <cacheHierarchy uniqueName="[Raw Data].[Patient Attend Time]" caption="Patient Attend Time" attribute="1" defaultMemberUniqueName="[Raw Data].[Patient Attend Time].[All]" allUniqueName="[Raw Data].[Patient Attend Time].[All]" dimensionUniqueName="[Raw Data]"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__XL_Count Raw Data]" caption="__XL_Count Raw Data" measure="1" displayFolder="" measureGroup="Raw 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Patient_ID]" caption="Count of Patient_ID" measure="1" displayFolder="" measureGroup="Raw Data" count="0" hidden="1">
      <extLst>
        <ext xmlns:x15="http://schemas.microsoft.com/office/spreadsheetml/2010/11/main" uri="{B97F6D7D-B522-45F9-BDA1-12C45D357490}">
          <x15:cacheHierarchy aggregatedColumn="4"/>
        </ext>
      </extLst>
    </cacheHierarchy>
    <cacheHierarchy uniqueName="[Measures].[Sum of Wait_Time]" caption="Sum of Wait_Time" measure="1" displayFolder="" measureGroup="Raw Data" count="0" hidden="1">
      <extLst>
        <ext xmlns:x15="http://schemas.microsoft.com/office/spreadsheetml/2010/11/main" uri="{B97F6D7D-B522-45F9-BDA1-12C45D357490}">
          <x15:cacheHierarchy aggregatedColumn="14"/>
        </ext>
      </extLst>
    </cacheHierarchy>
    <cacheHierarchy uniqueName="[Measures].[Average of Wait_Time]" caption="Average of Wait_Time" measure="1" displayFolder="" measureGroup="Raw Data" count="0" hidden="1">
      <extLst>
        <ext xmlns:x15="http://schemas.microsoft.com/office/spreadsheetml/2010/11/main" uri="{B97F6D7D-B522-45F9-BDA1-12C45D357490}">
          <x15:cacheHierarchy aggregatedColumn="14"/>
        </ext>
      </extLst>
    </cacheHierarchy>
    <cacheHierarchy uniqueName="[Measures].[Sum of Satisfaction_Score]" caption="Sum of Satisfaction_Score" measure="1" displayFolder="" measureGroup="Raw Data" count="0" hidden="1">
      <extLst>
        <ext xmlns:x15="http://schemas.microsoft.com/office/spreadsheetml/2010/11/main" uri="{B97F6D7D-B522-45F9-BDA1-12C45D357490}">
          <x15:cacheHierarchy aggregatedColumn="13"/>
        </ext>
      </extLst>
    </cacheHierarchy>
    <cacheHierarchy uniqueName="[Measures].[Average of Satisfaction_Score]" caption="Average of Satisfaction_Score" measure="1" displayFolder="" measureGroup="Raw Data" count="0" hidden="1">
      <extLst>
        <ext xmlns:x15="http://schemas.microsoft.com/office/spreadsheetml/2010/11/main" uri="{B97F6D7D-B522-45F9-BDA1-12C45D357490}">
          <x15:cacheHierarchy aggregatedColumn="13"/>
        </ext>
      </extLst>
    </cacheHierarchy>
    <cacheHierarchy uniqueName="[Measures].[Count of Date (Year)]" caption="Count of Date (Year)" measure="1" displayFolder="" measureGroup="Date" count="0" hidden="1">
      <extLst>
        <ext xmlns:x15="http://schemas.microsoft.com/office/spreadsheetml/2010/11/main" uri="{B97F6D7D-B522-45F9-BDA1-12C45D357490}">
          <x15:cacheHierarchy aggregatedColumn="1"/>
        </ext>
      </extLst>
    </cacheHierarchy>
    <cacheHierarchy uniqueName="[Measures].[Count of Date (Quarter)]" caption="Count of Date (Quarter)" measure="1" displayFolder="" measureGroup="Date" count="0" hidden="1">
      <extLst>
        <ext xmlns:x15="http://schemas.microsoft.com/office/spreadsheetml/2010/11/main" uri="{B97F6D7D-B522-45F9-BDA1-12C45D357490}">
          <x15:cacheHierarchy aggregatedColumn="2"/>
        </ext>
      </extLst>
    </cacheHierarchy>
    <cacheHierarchy uniqueName="[Measures].[Count of Date (Month)]" caption="Count of Date (Month)" measure="1" displayFolder="" measureGroup="Date" count="0" hidden="1">
      <extLst>
        <ext xmlns:x15="http://schemas.microsoft.com/office/spreadsheetml/2010/11/main" uri="{B97F6D7D-B522-45F9-BDA1-12C45D357490}">
          <x15:cacheHierarchy aggregatedColumn="3"/>
        </ext>
      </extLst>
    </cacheHierarchy>
    <cacheHierarchy uniqueName="[Measures].[Count of Date]" caption="Count of Date" measure="1" displayFolder="" measureGroup="Date" count="0" hidden="1">
      <extLst>
        <ext xmlns:x15="http://schemas.microsoft.com/office/spreadsheetml/2010/11/main" uri="{B97F6D7D-B522-45F9-BDA1-12C45D357490}">
          <x15:cacheHierarchy aggregatedColumn="0"/>
        </ext>
      </extLst>
    </cacheHierarchy>
    <cacheHierarchy uniqueName="[Measures].[Count of Patient Attend Time]" caption="Count of Patient Attend Time" measure="1" displayFolder="" measureGroup="Raw Data" count="0" hidden="1">
      <extLst>
        <ext xmlns:x15="http://schemas.microsoft.com/office/spreadsheetml/2010/11/main" uri="{B97F6D7D-B522-45F9-BDA1-12C45D357490}">
          <x15:cacheHierarchy aggregatedColumn="16"/>
        </ext>
      </extLst>
    </cacheHierarchy>
    <cacheHierarchy uniqueName="[Measures].[Count of Admission_Flag]" caption="Count of Admission_Flag" measure="1" displayFolder="" measureGroup="Raw Data"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Raw Data"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Raw Data" count="0" hidden="1">
      <extLst>
        <ext xmlns:x15="http://schemas.microsoft.com/office/spreadsheetml/2010/11/main" uri="{B97F6D7D-B522-45F9-BDA1-12C45D357490}">
          <x15:cacheHierarchy aggregatedColumn="9"/>
        </ext>
      </extLst>
    </cacheHierarchy>
    <cacheHierarchy uniqueName="[Measures].[Count of Gender]" caption="Count of Gender" measure="1" displayFolder="" measureGroup="Raw Data" count="0" hidden="1">
      <extLst>
        <ext xmlns:x15="http://schemas.microsoft.com/office/spreadsheetml/2010/11/main" uri="{B97F6D7D-B522-45F9-BDA1-12C45D357490}">
          <x15:cacheHierarchy aggregatedColumn="8"/>
        </ext>
      </extLst>
    </cacheHierarchy>
    <cacheHierarchy uniqueName="[Measures].[Count of Departmental_Referral]" caption="Count of Departmental_Referral" measure="1" displayFolder="" measureGroup="Raw Data" count="0" hidden="1">
      <extLst>
        <ext xmlns:x15="http://schemas.microsoft.com/office/spreadsheetml/2010/11/main" uri="{B97F6D7D-B522-45F9-BDA1-12C45D357490}">
          <x15:cacheHierarchy aggregatedColumn="11"/>
        </ext>
      </extLst>
    </cacheHierarchy>
  </cacheHierarchies>
  <kpis count="0"/>
  <dimensions count="3">
    <dimension name="Date" uniqueName="[Date]" caption="Date"/>
    <dimension measure="1" name="Measures" uniqueName="[Measures]" caption="Measures"/>
    <dimension name="Raw Data" uniqueName="[Raw Data]" caption="Raw Data"/>
  </dimensions>
  <measureGroups count="2">
    <measureGroup name="Date" caption="Date"/>
    <measureGroup name="Raw Data" caption="Raw 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3.83411087963" createdVersion="5" refreshedVersion="8" minRefreshableVersion="3" recordCount="0" supportSubquery="1" supportAdvancedDrill="1" xr:uid="{AC0DF31B-8525-49F5-9A60-CD7DA3E5980C}">
  <cacheSource type="external" connectionId="3"/>
  <cacheFields count="5">
    <cacheField name="[Raw Data].[Admission_Flag].[Admission_Flag]" caption="Admission_Flag" numFmtId="0" hierarchy="12" level="1">
      <sharedItems count="2">
        <s v="Admitted"/>
        <s v="Not Admitted"/>
      </sharedItems>
    </cacheField>
    <cacheField name="[Measures].[Count of Admission_Flag]" caption="Count of Admission_Flag" numFmtId="0" hierarchy="31" level="32767"/>
    <cacheField name="[Date].[Date (Month)].[Date (Month)]" caption="Date (Month)" numFmtId="0" hierarchy="3" level="1">
      <sharedItems containsSemiMixedTypes="0" containsNonDate="0" containsString="0"/>
    </cacheField>
    <cacheField name="[Date].[Date (Year)].[Date (Year)]" caption="Date (Year)" numFmtId="0" hierarchy="1" level="1">
      <sharedItems containsSemiMixedTypes="0" containsNonDate="0" containsString="0"/>
    </cacheField>
    <cacheField name="Unsupported0" numFmtId="0" hierarchy="36" level="32767">
      <extLst>
        <ext xmlns:x14="http://schemas.microsoft.com/office/spreadsheetml/2009/9/main" uri="{63CAB8AC-B538-458d-9737-405883B0398D}">
          <x14:cacheField ignore="1"/>
        </ext>
      </extLst>
    </cacheField>
  </cacheFields>
  <cacheHierarchies count="37">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2" memberValueDatatype="130" unbalanced="0">
      <fieldsUsage count="2">
        <fieldUsage x="-1"/>
        <fieldUsage x="3"/>
      </fieldsUsage>
    </cacheHierarchy>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2" memberValueDatatype="130" unbalanced="0">
      <fieldsUsage count="2">
        <fieldUsage x="-1"/>
        <fieldUsage x="2"/>
      </fieldsUsage>
    </cacheHierarchy>
    <cacheHierarchy uniqueName="[Raw Data].[Patient_ID]" caption="Patient_ID" attribute="1" defaultMemberUniqueName="[Raw Data].[Patient_ID].[All]" allUniqueName="[Raw Data].[Patient_ID].[All]" dimensionUniqueName="[Raw Data]" displayFolder="" count="0" memberValueDatatype="130" unbalanced="0"/>
    <cacheHierarchy uniqueName="[Raw Data].[Admission_Date]" caption="Admission_Date" attribute="1" time="1" defaultMemberUniqueName="[Raw Data].[Admission_Date].[All]" allUniqueName="[Raw Data].[Admission_Date].[All]" dimensionUniqueName="[Raw Data]" displayFolder="" count="0" memberValueDatatype="7" unbalanced="0"/>
    <cacheHierarchy uniqueName="[Raw Data].[First_Name]" caption="First_Name" attribute="1" defaultMemberUniqueName="[Raw Data].[First_Name].[All]" allUniqueName="[Raw Data].[First_Name].[All]" dimensionUniqueName="[Raw Data]" displayFolder="" count="0" memberValueDatatype="130" unbalanced="0"/>
    <cacheHierarchy uniqueName="[Raw Data].[Last_Name]" caption="Last_Name" attribute="1" defaultMemberUniqueName="[Raw Data].[Last_Name].[All]" allUniqueName="[Raw Data].[Last_Name].[All]" dimensionUniqueName="[Raw Data]" displayFolder="" count="0" memberValueDatatype="130" unbalanced="0"/>
    <cacheHierarchy uniqueName="[Raw Data].[Gender]" caption="Gender" attribute="1" defaultMemberUniqueName="[Raw Data].[Gender].[All]" allUniqueName="[Raw Data].[Gender].[All]" dimensionUniqueName="[Raw Data]" displayFolder="" count="0" memberValueDatatype="130" unbalanced="0"/>
    <cacheHierarchy uniqueName="[Raw Data].[Age]" caption="Age" attribute="1" defaultMemberUniqueName="[Raw Data].[Age].[All]" allUniqueName="[Raw Data].[Age].[All]" dimensionUniqueName="[Raw Data]" displayFolder="" count="0" memberValueDatatype="20" unbalanced="0"/>
    <cacheHierarchy uniqueName="[Raw Data].[Race]" caption="Race" attribute="1" defaultMemberUniqueName="[Raw Data].[Race].[All]" allUniqueName="[Raw Data].[Race].[All]" dimensionUniqueName="[Raw Data]" displayFolder="" count="0" memberValueDatatype="130" unbalanced="0"/>
    <cacheHierarchy uniqueName="[Raw Data].[Departmental_Referral]" caption="Departmental_Referral" attribute="1" defaultMemberUniqueName="[Raw Data].[Departmental_Referral].[All]" allUniqueName="[Raw Data].[Departmental_Referral].[All]" dimensionUniqueName="[Raw Data]" displayFolder="" count="0" memberValueDatatype="130" unbalanced="0"/>
    <cacheHierarchy uniqueName="[Raw Data].[Admission_Flag]" caption="Admission_Flag" attribute="1" defaultMemberUniqueName="[Raw Data].[Admission_Flag].[All]" allUniqueName="[Raw Data].[Admission_Flag].[All]" dimensionUniqueName="[Raw Data]" displayFolder="" count="2" memberValueDatatype="130" unbalanced="0">
      <fieldsUsage count="2">
        <fieldUsage x="-1"/>
        <fieldUsage x="0"/>
      </fieldsUsage>
    </cacheHierarchy>
    <cacheHierarchy uniqueName="[Raw Data].[Satisfaction_Score]" caption="Satisfaction_Score" attribute="1" defaultMemberUniqueName="[Raw Data].[Satisfaction_Score].[All]" allUniqueName="[Raw Data].[Satisfaction_Score].[All]" dimensionUniqueName="[Raw Data]" displayFolder="" count="0" memberValueDatatype="20" unbalanced="0"/>
    <cacheHierarchy uniqueName="[Raw Data].[Wait_Time]" caption="Wait_Time" attribute="1" defaultMemberUniqueName="[Raw Data].[Wait_Time].[All]" allUniqueName="[Raw Data].[Wait_Time].[All]" dimensionUniqueName="[Raw Data]" displayFolder="" count="0" memberValueDatatype="20" unbalanced="0"/>
    <cacheHierarchy uniqueName="[Raw Data].[Age Group]" caption="Age Group" attribute="1" defaultMemberUniqueName="[Raw Data].[Age Group].[All]" allUniqueName="[Raw Data].[Age Group].[All]" dimensionUniqueName="[Raw Data]" displayFolder="" count="0" memberValueDatatype="130" unbalanced="0"/>
    <cacheHierarchy uniqueName="[Raw Data].[Patient Attend Time]" caption="Patient Attend Time" attribute="1" defaultMemberUniqueName="[Raw Data].[Patient Attend Time].[All]" allUniqueName="[Raw Data].[Patient Attend Time].[All]" dimensionUniqueName="[Raw Data]"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__XL_Count Raw Data]" caption="__XL_Count Raw Data" measure="1" displayFolder="" measureGroup="Raw 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Patient_ID]" caption="Count of Patient_ID" measure="1" displayFolder="" measureGroup="Raw Data" count="0" hidden="1">
      <extLst>
        <ext xmlns:x15="http://schemas.microsoft.com/office/spreadsheetml/2010/11/main" uri="{B97F6D7D-B522-45F9-BDA1-12C45D357490}">
          <x15:cacheHierarchy aggregatedColumn="4"/>
        </ext>
      </extLst>
    </cacheHierarchy>
    <cacheHierarchy uniqueName="[Measures].[Sum of Wait_Time]" caption="Sum of Wait_Time" measure="1" displayFolder="" measureGroup="Raw Data" count="0" hidden="1">
      <extLst>
        <ext xmlns:x15="http://schemas.microsoft.com/office/spreadsheetml/2010/11/main" uri="{B97F6D7D-B522-45F9-BDA1-12C45D357490}">
          <x15:cacheHierarchy aggregatedColumn="14"/>
        </ext>
      </extLst>
    </cacheHierarchy>
    <cacheHierarchy uniqueName="[Measures].[Average of Wait_Time]" caption="Average of Wait_Time" measure="1" displayFolder="" measureGroup="Raw Data" count="0" hidden="1">
      <extLst>
        <ext xmlns:x15="http://schemas.microsoft.com/office/spreadsheetml/2010/11/main" uri="{B97F6D7D-B522-45F9-BDA1-12C45D357490}">
          <x15:cacheHierarchy aggregatedColumn="14"/>
        </ext>
      </extLst>
    </cacheHierarchy>
    <cacheHierarchy uniqueName="[Measures].[Sum of Satisfaction_Score]" caption="Sum of Satisfaction_Score" measure="1" displayFolder="" measureGroup="Raw Data" count="0" hidden="1">
      <extLst>
        <ext xmlns:x15="http://schemas.microsoft.com/office/spreadsheetml/2010/11/main" uri="{B97F6D7D-B522-45F9-BDA1-12C45D357490}">
          <x15:cacheHierarchy aggregatedColumn="13"/>
        </ext>
      </extLst>
    </cacheHierarchy>
    <cacheHierarchy uniqueName="[Measures].[Average of Satisfaction_Score]" caption="Average of Satisfaction_Score" measure="1" displayFolder="" measureGroup="Raw Data" count="0" hidden="1">
      <extLst>
        <ext xmlns:x15="http://schemas.microsoft.com/office/spreadsheetml/2010/11/main" uri="{B97F6D7D-B522-45F9-BDA1-12C45D357490}">
          <x15:cacheHierarchy aggregatedColumn="13"/>
        </ext>
      </extLst>
    </cacheHierarchy>
    <cacheHierarchy uniqueName="[Measures].[Count of Date (Year)]" caption="Count of Date (Year)" measure="1" displayFolder="" measureGroup="Date" count="0" hidden="1">
      <extLst>
        <ext xmlns:x15="http://schemas.microsoft.com/office/spreadsheetml/2010/11/main" uri="{B97F6D7D-B522-45F9-BDA1-12C45D357490}">
          <x15:cacheHierarchy aggregatedColumn="1"/>
        </ext>
      </extLst>
    </cacheHierarchy>
    <cacheHierarchy uniqueName="[Measures].[Count of Date (Quarter)]" caption="Count of Date (Quarter)" measure="1" displayFolder="" measureGroup="Date" count="0" hidden="1">
      <extLst>
        <ext xmlns:x15="http://schemas.microsoft.com/office/spreadsheetml/2010/11/main" uri="{B97F6D7D-B522-45F9-BDA1-12C45D357490}">
          <x15:cacheHierarchy aggregatedColumn="2"/>
        </ext>
      </extLst>
    </cacheHierarchy>
    <cacheHierarchy uniqueName="[Measures].[Count of Date (Month)]" caption="Count of Date (Month)" measure="1" displayFolder="" measureGroup="Date" count="0" hidden="1">
      <extLst>
        <ext xmlns:x15="http://schemas.microsoft.com/office/spreadsheetml/2010/11/main" uri="{B97F6D7D-B522-45F9-BDA1-12C45D357490}">
          <x15:cacheHierarchy aggregatedColumn="3"/>
        </ext>
      </extLst>
    </cacheHierarchy>
    <cacheHierarchy uniqueName="[Measures].[Count of Date]" caption="Count of Date" measure="1" displayFolder="" measureGroup="Date" count="0" hidden="1">
      <extLst>
        <ext xmlns:x15="http://schemas.microsoft.com/office/spreadsheetml/2010/11/main" uri="{B97F6D7D-B522-45F9-BDA1-12C45D357490}">
          <x15:cacheHierarchy aggregatedColumn="0"/>
        </ext>
      </extLst>
    </cacheHierarchy>
    <cacheHierarchy uniqueName="[Measures].[Count of Patient Attend Time]" caption="Count of Patient Attend Time" measure="1" displayFolder="" measureGroup="Raw Data" count="0" hidden="1">
      <extLst>
        <ext xmlns:x15="http://schemas.microsoft.com/office/spreadsheetml/2010/11/main" uri="{B97F6D7D-B522-45F9-BDA1-12C45D357490}">
          <x15:cacheHierarchy aggregatedColumn="16"/>
        </ext>
      </extLst>
    </cacheHierarchy>
    <cacheHierarchy uniqueName="[Measures].[Count of Admission_Flag]" caption="Count of Admission_Flag" measure="1" displayFolder="" measureGroup="Raw Data"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Raw Data"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Raw Data" count="0" hidden="1">
      <extLst>
        <ext xmlns:x15="http://schemas.microsoft.com/office/spreadsheetml/2010/11/main" uri="{B97F6D7D-B522-45F9-BDA1-12C45D357490}">
          <x15:cacheHierarchy aggregatedColumn="9"/>
        </ext>
      </extLst>
    </cacheHierarchy>
    <cacheHierarchy uniqueName="[Measures].[Count of Gender]" caption="Count of Gender" measure="1" displayFolder="" measureGroup="Raw Data" count="0" hidden="1">
      <extLst>
        <ext xmlns:x15="http://schemas.microsoft.com/office/spreadsheetml/2010/11/main" uri="{B97F6D7D-B522-45F9-BDA1-12C45D357490}">
          <x15:cacheHierarchy aggregatedColumn="8"/>
        </ext>
      </extLst>
    </cacheHierarchy>
    <cacheHierarchy uniqueName="[Measures].[Count of Departmental_Referral]" caption="Count of Departmental_Referral" measure="1" displayFolder="" measureGroup="Raw Data" count="0" hidden="1">
      <extLst>
        <ext xmlns:x15="http://schemas.microsoft.com/office/spreadsheetml/2010/11/main" uri="{B97F6D7D-B522-45F9-BDA1-12C45D357490}">
          <x15:cacheHierarchy aggregatedColumn="11"/>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Date" uniqueName="[Date]" caption="Date"/>
    <dimension measure="1" name="Measures" uniqueName="[Measures]" caption="Measures"/>
    <dimension name="Raw Data" uniqueName="[Raw Data]" caption="Raw Data"/>
  </dimensions>
  <measureGroups count="2">
    <measureGroup name="Date" caption="Date"/>
    <measureGroup name="Raw Data" caption="Raw 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3.834112384262" createdVersion="5" refreshedVersion="8" minRefreshableVersion="3" recordCount="0" supportSubquery="1" supportAdvancedDrill="1" xr:uid="{48E3EF29-A941-4307-AB1E-F8E1FE96986C}">
  <cacheSource type="external" connectionId="3"/>
  <cacheFields count="4">
    <cacheField name="[Raw Data].[Age Group].[Age Group]" caption="Age Group" numFmtId="0" hierarchy="15" level="1">
      <sharedItems count="6">
        <s v="0-12"/>
        <s v="13-25"/>
        <s v="26-40"/>
        <s v="41-65"/>
        <s v="66-85"/>
        <s v="85+"/>
      </sharedItems>
    </cacheField>
    <cacheField name="[Measures].[Count of Age Group]" caption="Count of Age Group" numFmtId="0" hierarchy="32" level="32767"/>
    <cacheField name="[Date].[Date (Month)].[Date (Month)]" caption="Date (Month)" numFmtId="0" hierarchy="3" level="1">
      <sharedItems containsSemiMixedTypes="0" containsNonDate="0" containsString="0"/>
    </cacheField>
    <cacheField name="[Date].[Date (Year)].[Date (Year)]" caption="Date (Year)" numFmtId="0" hierarchy="1" level="1">
      <sharedItems containsSemiMixedTypes="0" containsNonDate="0" containsString="0"/>
    </cacheField>
  </cacheFields>
  <cacheHierarchies count="36">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2" memberValueDatatype="130" unbalanced="0">
      <fieldsUsage count="2">
        <fieldUsage x="-1"/>
        <fieldUsage x="3"/>
      </fieldsUsage>
    </cacheHierarchy>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2" memberValueDatatype="130" unbalanced="0">
      <fieldsUsage count="2">
        <fieldUsage x="-1"/>
        <fieldUsage x="2"/>
      </fieldsUsage>
    </cacheHierarchy>
    <cacheHierarchy uniqueName="[Raw Data].[Patient_ID]" caption="Patient_ID" attribute="1" defaultMemberUniqueName="[Raw Data].[Patient_ID].[All]" allUniqueName="[Raw Data].[Patient_ID].[All]" dimensionUniqueName="[Raw Data]" displayFolder="" count="0" memberValueDatatype="130" unbalanced="0"/>
    <cacheHierarchy uniqueName="[Raw Data].[Admission_Date]" caption="Admission_Date" attribute="1" time="1" defaultMemberUniqueName="[Raw Data].[Admission_Date].[All]" allUniqueName="[Raw Data].[Admission_Date].[All]" dimensionUniqueName="[Raw Data]" displayFolder="" count="0" memberValueDatatype="7" unbalanced="0"/>
    <cacheHierarchy uniqueName="[Raw Data].[First_Name]" caption="First_Name" attribute="1" defaultMemberUniqueName="[Raw Data].[First_Name].[All]" allUniqueName="[Raw Data].[First_Name].[All]" dimensionUniqueName="[Raw Data]" displayFolder="" count="0" memberValueDatatype="130" unbalanced="0"/>
    <cacheHierarchy uniqueName="[Raw Data].[Last_Name]" caption="Last_Name" attribute="1" defaultMemberUniqueName="[Raw Data].[Last_Name].[All]" allUniqueName="[Raw Data].[Last_Name].[All]" dimensionUniqueName="[Raw Data]" displayFolder="" count="0" memberValueDatatype="130" unbalanced="0"/>
    <cacheHierarchy uniqueName="[Raw Data].[Gender]" caption="Gender" attribute="1" defaultMemberUniqueName="[Raw Data].[Gender].[All]" allUniqueName="[Raw Data].[Gender].[All]" dimensionUniqueName="[Raw Data]" displayFolder="" count="0" memberValueDatatype="130" unbalanced="0"/>
    <cacheHierarchy uniqueName="[Raw Data].[Age]" caption="Age" attribute="1" defaultMemberUniqueName="[Raw Data].[Age].[All]" allUniqueName="[Raw Data].[Age].[All]" dimensionUniqueName="[Raw Data]" displayFolder="" count="0" memberValueDatatype="20" unbalanced="0"/>
    <cacheHierarchy uniqueName="[Raw Data].[Race]" caption="Race" attribute="1" defaultMemberUniqueName="[Raw Data].[Race].[All]" allUniqueName="[Raw Data].[Race].[All]" dimensionUniqueName="[Raw Data]" displayFolder="" count="0" memberValueDatatype="130" unbalanced="0"/>
    <cacheHierarchy uniqueName="[Raw Data].[Departmental_Referral]" caption="Departmental_Referral" attribute="1" defaultMemberUniqueName="[Raw Data].[Departmental_Referral].[All]" allUniqueName="[Raw Data].[Departmental_Referral].[All]" dimensionUniqueName="[Raw Data]" displayFolder="" count="0" memberValueDatatype="130" unbalanced="0"/>
    <cacheHierarchy uniqueName="[Raw Data].[Admission_Flag]" caption="Admission_Flag" attribute="1" defaultMemberUniqueName="[Raw Data].[Admission_Flag].[All]" allUniqueName="[Raw Data].[Admission_Flag].[All]" dimensionUniqueName="[Raw Data]" displayFolder="" count="0" memberValueDatatype="130" unbalanced="0"/>
    <cacheHierarchy uniqueName="[Raw Data].[Satisfaction_Score]" caption="Satisfaction_Score" attribute="1" defaultMemberUniqueName="[Raw Data].[Satisfaction_Score].[All]" allUniqueName="[Raw Data].[Satisfaction_Score].[All]" dimensionUniqueName="[Raw Data]" displayFolder="" count="0" memberValueDatatype="20" unbalanced="0"/>
    <cacheHierarchy uniqueName="[Raw Data].[Wait_Time]" caption="Wait_Time" attribute="1" defaultMemberUniqueName="[Raw Data].[Wait_Time].[All]" allUniqueName="[Raw Data].[Wait_Time].[All]" dimensionUniqueName="[Raw Data]" displayFolder="" count="0" memberValueDatatype="20" unbalanced="0"/>
    <cacheHierarchy uniqueName="[Raw Data].[Age Group]" caption="Age Group" attribute="1" defaultMemberUniqueName="[Raw Data].[Age Group].[All]" allUniqueName="[Raw Data].[Age Group].[All]" dimensionUniqueName="[Raw Data]" displayFolder="" count="2" memberValueDatatype="130" unbalanced="0">
      <fieldsUsage count="2">
        <fieldUsage x="-1"/>
        <fieldUsage x="0"/>
      </fieldsUsage>
    </cacheHierarchy>
    <cacheHierarchy uniqueName="[Raw Data].[Patient Attend Time]" caption="Patient Attend Time" attribute="1" defaultMemberUniqueName="[Raw Data].[Patient Attend Time].[All]" allUniqueName="[Raw Data].[Patient Attend Time].[All]" dimensionUniqueName="[Raw Data]"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__XL_Count Raw Data]" caption="__XL_Count Raw Data" measure="1" displayFolder="" measureGroup="Raw 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Patient_ID]" caption="Count of Patient_ID" measure="1" displayFolder="" measureGroup="Raw Data" count="0" hidden="1">
      <extLst>
        <ext xmlns:x15="http://schemas.microsoft.com/office/spreadsheetml/2010/11/main" uri="{B97F6D7D-B522-45F9-BDA1-12C45D357490}">
          <x15:cacheHierarchy aggregatedColumn="4"/>
        </ext>
      </extLst>
    </cacheHierarchy>
    <cacheHierarchy uniqueName="[Measures].[Sum of Wait_Time]" caption="Sum of Wait_Time" measure="1" displayFolder="" measureGroup="Raw Data" count="0" hidden="1">
      <extLst>
        <ext xmlns:x15="http://schemas.microsoft.com/office/spreadsheetml/2010/11/main" uri="{B97F6D7D-B522-45F9-BDA1-12C45D357490}">
          <x15:cacheHierarchy aggregatedColumn="14"/>
        </ext>
      </extLst>
    </cacheHierarchy>
    <cacheHierarchy uniqueName="[Measures].[Average of Wait_Time]" caption="Average of Wait_Time" measure="1" displayFolder="" measureGroup="Raw Data" count="0" hidden="1">
      <extLst>
        <ext xmlns:x15="http://schemas.microsoft.com/office/spreadsheetml/2010/11/main" uri="{B97F6D7D-B522-45F9-BDA1-12C45D357490}">
          <x15:cacheHierarchy aggregatedColumn="14"/>
        </ext>
      </extLst>
    </cacheHierarchy>
    <cacheHierarchy uniqueName="[Measures].[Sum of Satisfaction_Score]" caption="Sum of Satisfaction_Score" measure="1" displayFolder="" measureGroup="Raw Data" count="0" hidden="1">
      <extLst>
        <ext xmlns:x15="http://schemas.microsoft.com/office/spreadsheetml/2010/11/main" uri="{B97F6D7D-B522-45F9-BDA1-12C45D357490}">
          <x15:cacheHierarchy aggregatedColumn="13"/>
        </ext>
      </extLst>
    </cacheHierarchy>
    <cacheHierarchy uniqueName="[Measures].[Average of Satisfaction_Score]" caption="Average of Satisfaction_Score" measure="1" displayFolder="" measureGroup="Raw Data" count="0" hidden="1">
      <extLst>
        <ext xmlns:x15="http://schemas.microsoft.com/office/spreadsheetml/2010/11/main" uri="{B97F6D7D-B522-45F9-BDA1-12C45D357490}">
          <x15:cacheHierarchy aggregatedColumn="13"/>
        </ext>
      </extLst>
    </cacheHierarchy>
    <cacheHierarchy uniqueName="[Measures].[Count of Date (Year)]" caption="Count of Date (Year)" measure="1" displayFolder="" measureGroup="Date" count="0" hidden="1">
      <extLst>
        <ext xmlns:x15="http://schemas.microsoft.com/office/spreadsheetml/2010/11/main" uri="{B97F6D7D-B522-45F9-BDA1-12C45D357490}">
          <x15:cacheHierarchy aggregatedColumn="1"/>
        </ext>
      </extLst>
    </cacheHierarchy>
    <cacheHierarchy uniqueName="[Measures].[Count of Date (Quarter)]" caption="Count of Date (Quarter)" measure="1" displayFolder="" measureGroup="Date" count="0" hidden="1">
      <extLst>
        <ext xmlns:x15="http://schemas.microsoft.com/office/spreadsheetml/2010/11/main" uri="{B97F6D7D-B522-45F9-BDA1-12C45D357490}">
          <x15:cacheHierarchy aggregatedColumn="2"/>
        </ext>
      </extLst>
    </cacheHierarchy>
    <cacheHierarchy uniqueName="[Measures].[Count of Date (Month)]" caption="Count of Date (Month)" measure="1" displayFolder="" measureGroup="Date" count="0" hidden="1">
      <extLst>
        <ext xmlns:x15="http://schemas.microsoft.com/office/spreadsheetml/2010/11/main" uri="{B97F6D7D-B522-45F9-BDA1-12C45D357490}">
          <x15:cacheHierarchy aggregatedColumn="3"/>
        </ext>
      </extLst>
    </cacheHierarchy>
    <cacheHierarchy uniqueName="[Measures].[Count of Date]" caption="Count of Date" measure="1" displayFolder="" measureGroup="Date" count="0" hidden="1">
      <extLst>
        <ext xmlns:x15="http://schemas.microsoft.com/office/spreadsheetml/2010/11/main" uri="{B97F6D7D-B522-45F9-BDA1-12C45D357490}">
          <x15:cacheHierarchy aggregatedColumn="0"/>
        </ext>
      </extLst>
    </cacheHierarchy>
    <cacheHierarchy uniqueName="[Measures].[Count of Patient Attend Time]" caption="Count of Patient Attend Time" measure="1" displayFolder="" measureGroup="Raw Data" count="0" hidden="1">
      <extLst>
        <ext xmlns:x15="http://schemas.microsoft.com/office/spreadsheetml/2010/11/main" uri="{B97F6D7D-B522-45F9-BDA1-12C45D357490}">
          <x15:cacheHierarchy aggregatedColumn="16"/>
        </ext>
      </extLst>
    </cacheHierarchy>
    <cacheHierarchy uniqueName="[Measures].[Count of Admission_Flag]" caption="Count of Admission_Flag" measure="1" displayFolder="" measureGroup="Raw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Raw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Age]" caption="Sum of Age" measure="1" displayFolder="" measureGroup="Raw Data" count="0" hidden="1">
      <extLst>
        <ext xmlns:x15="http://schemas.microsoft.com/office/spreadsheetml/2010/11/main" uri="{B97F6D7D-B522-45F9-BDA1-12C45D357490}">
          <x15:cacheHierarchy aggregatedColumn="9"/>
        </ext>
      </extLst>
    </cacheHierarchy>
    <cacheHierarchy uniqueName="[Measures].[Count of Gender]" caption="Count of Gender" measure="1" displayFolder="" measureGroup="Raw Data" count="0" hidden="1">
      <extLst>
        <ext xmlns:x15="http://schemas.microsoft.com/office/spreadsheetml/2010/11/main" uri="{B97F6D7D-B522-45F9-BDA1-12C45D357490}">
          <x15:cacheHierarchy aggregatedColumn="8"/>
        </ext>
      </extLst>
    </cacheHierarchy>
    <cacheHierarchy uniqueName="[Measures].[Count of Departmental_Referral]" caption="Count of Departmental_Referral" measure="1" displayFolder="" measureGroup="Raw Data" count="0" hidden="1">
      <extLst>
        <ext xmlns:x15="http://schemas.microsoft.com/office/spreadsheetml/2010/11/main" uri="{B97F6D7D-B522-45F9-BDA1-12C45D357490}">
          <x15:cacheHierarchy aggregatedColumn="11"/>
        </ext>
      </extLst>
    </cacheHierarchy>
  </cacheHierarchies>
  <kpis count="0"/>
  <dimensions count="3">
    <dimension name="Date" uniqueName="[Date]" caption="Date"/>
    <dimension measure="1" name="Measures" uniqueName="[Measures]" caption="Measures"/>
    <dimension name="Raw Data" uniqueName="[Raw Data]" caption="Raw Data"/>
  </dimensions>
  <measureGroups count="2">
    <measureGroup name="Date" caption="Date"/>
    <measureGroup name="Raw Data" caption="Raw 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3.834114004632" createdVersion="5" refreshedVersion="8" minRefreshableVersion="3" recordCount="0" supportSubquery="1" supportAdvancedDrill="1" xr:uid="{031065F6-C379-4C32-875E-B7387DE7A39E}">
  <cacheSource type="external" connectionId="3"/>
  <cacheFields count="4">
    <cacheField name="[Raw Data].[Patient Attend Time].[Patient Attend Time]" caption="Patient Attend Time" numFmtId="0" hierarchy="16" level="1">
      <sharedItems count="2">
        <s v="Delay"/>
        <s v="On-Time"/>
      </sharedItems>
    </cacheField>
    <cacheField name="[Measures].[Count of Patient Attend Time]" caption="Count of Patient Attend Time" numFmtId="0" hierarchy="30" level="32767"/>
    <cacheField name="[Date].[Date (Month)].[Date (Month)]" caption="Date (Month)" numFmtId="0" hierarchy="3" level="1">
      <sharedItems containsSemiMixedTypes="0" containsNonDate="0" containsString="0"/>
    </cacheField>
    <cacheField name="[Date].[Date (Year)].[Date (Year)]" caption="Date (Year)" numFmtId="0" hierarchy="1" level="1">
      <sharedItems containsSemiMixedTypes="0" containsNonDate="0" containsString="0"/>
    </cacheField>
  </cacheFields>
  <cacheHierarchies count="36">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2" memberValueDatatype="130" unbalanced="0">
      <fieldsUsage count="2">
        <fieldUsage x="-1"/>
        <fieldUsage x="3"/>
      </fieldsUsage>
    </cacheHierarchy>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2" memberValueDatatype="130" unbalanced="0">
      <fieldsUsage count="2">
        <fieldUsage x="-1"/>
        <fieldUsage x="2"/>
      </fieldsUsage>
    </cacheHierarchy>
    <cacheHierarchy uniqueName="[Raw Data].[Patient_ID]" caption="Patient_ID" attribute="1" defaultMemberUniqueName="[Raw Data].[Patient_ID].[All]" allUniqueName="[Raw Data].[Patient_ID].[All]" dimensionUniqueName="[Raw Data]" displayFolder="" count="0" memberValueDatatype="130" unbalanced="0"/>
    <cacheHierarchy uniqueName="[Raw Data].[Admission_Date]" caption="Admission_Date" attribute="1" time="1" defaultMemberUniqueName="[Raw Data].[Admission_Date].[All]" allUniqueName="[Raw Data].[Admission_Date].[All]" dimensionUniqueName="[Raw Data]" displayFolder="" count="0" memberValueDatatype="7" unbalanced="0"/>
    <cacheHierarchy uniqueName="[Raw Data].[First_Name]" caption="First_Name" attribute="1" defaultMemberUniqueName="[Raw Data].[First_Name].[All]" allUniqueName="[Raw Data].[First_Name].[All]" dimensionUniqueName="[Raw Data]" displayFolder="" count="0" memberValueDatatype="130" unbalanced="0"/>
    <cacheHierarchy uniqueName="[Raw Data].[Last_Name]" caption="Last_Name" attribute="1" defaultMemberUniqueName="[Raw Data].[Last_Name].[All]" allUniqueName="[Raw Data].[Last_Name].[All]" dimensionUniqueName="[Raw Data]" displayFolder="" count="0" memberValueDatatype="130" unbalanced="0"/>
    <cacheHierarchy uniqueName="[Raw Data].[Gender]" caption="Gender" attribute="1" defaultMemberUniqueName="[Raw Data].[Gender].[All]" allUniqueName="[Raw Data].[Gender].[All]" dimensionUniqueName="[Raw Data]" displayFolder="" count="0" memberValueDatatype="130" unbalanced="0"/>
    <cacheHierarchy uniqueName="[Raw Data].[Age]" caption="Age" attribute="1" defaultMemberUniqueName="[Raw Data].[Age].[All]" allUniqueName="[Raw Data].[Age].[All]" dimensionUniqueName="[Raw Data]" displayFolder="" count="0" memberValueDatatype="20" unbalanced="0"/>
    <cacheHierarchy uniqueName="[Raw Data].[Race]" caption="Race" attribute="1" defaultMemberUniqueName="[Raw Data].[Race].[All]" allUniqueName="[Raw Data].[Race].[All]" dimensionUniqueName="[Raw Data]" displayFolder="" count="0" memberValueDatatype="130" unbalanced="0"/>
    <cacheHierarchy uniqueName="[Raw Data].[Departmental_Referral]" caption="Departmental_Referral" attribute="1" defaultMemberUniqueName="[Raw Data].[Departmental_Referral].[All]" allUniqueName="[Raw Data].[Departmental_Referral].[All]" dimensionUniqueName="[Raw Data]" displayFolder="" count="0" memberValueDatatype="130" unbalanced="0"/>
    <cacheHierarchy uniqueName="[Raw Data].[Admission_Flag]" caption="Admission_Flag" attribute="1" defaultMemberUniqueName="[Raw Data].[Admission_Flag].[All]" allUniqueName="[Raw Data].[Admission_Flag].[All]" dimensionUniqueName="[Raw Data]" displayFolder="" count="0" memberValueDatatype="130" unbalanced="0"/>
    <cacheHierarchy uniqueName="[Raw Data].[Satisfaction_Score]" caption="Satisfaction_Score" attribute="1" defaultMemberUniqueName="[Raw Data].[Satisfaction_Score].[All]" allUniqueName="[Raw Data].[Satisfaction_Score].[All]" dimensionUniqueName="[Raw Data]" displayFolder="" count="0" memberValueDatatype="20" unbalanced="0"/>
    <cacheHierarchy uniqueName="[Raw Data].[Wait_Time]" caption="Wait_Time" attribute="1" defaultMemberUniqueName="[Raw Data].[Wait_Time].[All]" allUniqueName="[Raw Data].[Wait_Time].[All]" dimensionUniqueName="[Raw Data]" displayFolder="" count="0" memberValueDatatype="20" unbalanced="0"/>
    <cacheHierarchy uniqueName="[Raw Data].[Age Group]" caption="Age Group" attribute="1" defaultMemberUniqueName="[Raw Data].[Age Group].[All]" allUniqueName="[Raw Data].[Age Group].[All]" dimensionUniqueName="[Raw Data]" displayFolder="" count="0" memberValueDatatype="130" unbalanced="0"/>
    <cacheHierarchy uniqueName="[Raw Data].[Patient Attend Time]" caption="Patient Attend Time" attribute="1" defaultMemberUniqueName="[Raw Data].[Patient Attend Time].[All]" allUniqueName="[Raw Data].[Patient Attend Time].[All]" dimensionUniqueName="[Raw Data]" displayFolder="" count="2" memberValueDatatype="130" unbalanced="0">
      <fieldsUsage count="2">
        <fieldUsage x="-1"/>
        <fieldUsage x="0"/>
      </fieldsUsage>
    </cacheHierarchy>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__XL_Count Raw Data]" caption="__XL_Count Raw Data" measure="1" displayFolder="" measureGroup="Raw 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Patient_ID]" caption="Count of Patient_ID" measure="1" displayFolder="" measureGroup="Raw Data" count="0" hidden="1">
      <extLst>
        <ext xmlns:x15="http://schemas.microsoft.com/office/spreadsheetml/2010/11/main" uri="{B97F6D7D-B522-45F9-BDA1-12C45D357490}">
          <x15:cacheHierarchy aggregatedColumn="4"/>
        </ext>
      </extLst>
    </cacheHierarchy>
    <cacheHierarchy uniqueName="[Measures].[Sum of Wait_Time]" caption="Sum of Wait_Time" measure="1" displayFolder="" measureGroup="Raw Data" count="0" hidden="1">
      <extLst>
        <ext xmlns:x15="http://schemas.microsoft.com/office/spreadsheetml/2010/11/main" uri="{B97F6D7D-B522-45F9-BDA1-12C45D357490}">
          <x15:cacheHierarchy aggregatedColumn="14"/>
        </ext>
      </extLst>
    </cacheHierarchy>
    <cacheHierarchy uniqueName="[Measures].[Average of Wait_Time]" caption="Average of Wait_Time" measure="1" displayFolder="" measureGroup="Raw Data" count="0" hidden="1">
      <extLst>
        <ext xmlns:x15="http://schemas.microsoft.com/office/spreadsheetml/2010/11/main" uri="{B97F6D7D-B522-45F9-BDA1-12C45D357490}">
          <x15:cacheHierarchy aggregatedColumn="14"/>
        </ext>
      </extLst>
    </cacheHierarchy>
    <cacheHierarchy uniqueName="[Measures].[Sum of Satisfaction_Score]" caption="Sum of Satisfaction_Score" measure="1" displayFolder="" measureGroup="Raw Data" count="0" hidden="1">
      <extLst>
        <ext xmlns:x15="http://schemas.microsoft.com/office/spreadsheetml/2010/11/main" uri="{B97F6D7D-B522-45F9-BDA1-12C45D357490}">
          <x15:cacheHierarchy aggregatedColumn="13"/>
        </ext>
      </extLst>
    </cacheHierarchy>
    <cacheHierarchy uniqueName="[Measures].[Average of Satisfaction_Score]" caption="Average of Satisfaction_Score" measure="1" displayFolder="" measureGroup="Raw Data" count="0" hidden="1">
      <extLst>
        <ext xmlns:x15="http://schemas.microsoft.com/office/spreadsheetml/2010/11/main" uri="{B97F6D7D-B522-45F9-BDA1-12C45D357490}">
          <x15:cacheHierarchy aggregatedColumn="13"/>
        </ext>
      </extLst>
    </cacheHierarchy>
    <cacheHierarchy uniqueName="[Measures].[Count of Date (Year)]" caption="Count of Date (Year)" measure="1" displayFolder="" measureGroup="Date" count="0" hidden="1">
      <extLst>
        <ext xmlns:x15="http://schemas.microsoft.com/office/spreadsheetml/2010/11/main" uri="{B97F6D7D-B522-45F9-BDA1-12C45D357490}">
          <x15:cacheHierarchy aggregatedColumn="1"/>
        </ext>
      </extLst>
    </cacheHierarchy>
    <cacheHierarchy uniqueName="[Measures].[Count of Date (Quarter)]" caption="Count of Date (Quarter)" measure="1" displayFolder="" measureGroup="Date" count="0" hidden="1">
      <extLst>
        <ext xmlns:x15="http://schemas.microsoft.com/office/spreadsheetml/2010/11/main" uri="{B97F6D7D-B522-45F9-BDA1-12C45D357490}">
          <x15:cacheHierarchy aggregatedColumn="2"/>
        </ext>
      </extLst>
    </cacheHierarchy>
    <cacheHierarchy uniqueName="[Measures].[Count of Date (Month)]" caption="Count of Date (Month)" measure="1" displayFolder="" measureGroup="Date" count="0" hidden="1">
      <extLst>
        <ext xmlns:x15="http://schemas.microsoft.com/office/spreadsheetml/2010/11/main" uri="{B97F6D7D-B522-45F9-BDA1-12C45D357490}">
          <x15:cacheHierarchy aggregatedColumn="3"/>
        </ext>
      </extLst>
    </cacheHierarchy>
    <cacheHierarchy uniqueName="[Measures].[Count of Date]" caption="Count of Date" measure="1" displayFolder="" measureGroup="Date" count="0" hidden="1">
      <extLst>
        <ext xmlns:x15="http://schemas.microsoft.com/office/spreadsheetml/2010/11/main" uri="{B97F6D7D-B522-45F9-BDA1-12C45D357490}">
          <x15:cacheHierarchy aggregatedColumn="0"/>
        </ext>
      </extLst>
    </cacheHierarchy>
    <cacheHierarchy uniqueName="[Measures].[Count of Patient Attend Time]" caption="Count of Patient Attend Time" measure="1" displayFolder="" measureGroup="Raw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Admission_Flag]" caption="Count of Admission_Flag" measure="1" displayFolder="" measureGroup="Raw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Raw Data"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Raw Data" count="0" hidden="1">
      <extLst>
        <ext xmlns:x15="http://schemas.microsoft.com/office/spreadsheetml/2010/11/main" uri="{B97F6D7D-B522-45F9-BDA1-12C45D357490}">
          <x15:cacheHierarchy aggregatedColumn="9"/>
        </ext>
      </extLst>
    </cacheHierarchy>
    <cacheHierarchy uniqueName="[Measures].[Count of Gender]" caption="Count of Gender" measure="1" displayFolder="" measureGroup="Raw Data" count="0" hidden="1">
      <extLst>
        <ext xmlns:x15="http://schemas.microsoft.com/office/spreadsheetml/2010/11/main" uri="{B97F6D7D-B522-45F9-BDA1-12C45D357490}">
          <x15:cacheHierarchy aggregatedColumn="8"/>
        </ext>
      </extLst>
    </cacheHierarchy>
    <cacheHierarchy uniqueName="[Measures].[Count of Departmental_Referral]" caption="Count of Departmental_Referral" measure="1" displayFolder="" measureGroup="Raw Data" count="0" hidden="1">
      <extLst>
        <ext xmlns:x15="http://schemas.microsoft.com/office/spreadsheetml/2010/11/main" uri="{B97F6D7D-B522-45F9-BDA1-12C45D357490}">
          <x15:cacheHierarchy aggregatedColumn="11"/>
        </ext>
      </extLst>
    </cacheHierarchy>
  </cacheHierarchies>
  <kpis count="0"/>
  <dimensions count="3">
    <dimension name="Date" uniqueName="[Date]" caption="Date"/>
    <dimension measure="1" name="Measures" uniqueName="[Measures]" caption="Measures"/>
    <dimension name="Raw Data" uniqueName="[Raw Data]" caption="Raw Data"/>
  </dimensions>
  <measureGroups count="2">
    <measureGroup name="Date" caption="Date"/>
    <measureGroup name="Raw Data" caption="Raw 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3.834115625003" createdVersion="5" refreshedVersion="8" minRefreshableVersion="3" recordCount="0" supportSubquery="1" supportAdvancedDrill="1" xr:uid="{8D5C3026-AEAD-4274-8707-C441BC987F9A}">
  <cacheSource type="external" connectionId="3"/>
  <cacheFields count="4">
    <cacheField name="[Raw Data].[Gender].[Gender]" caption="Gender" numFmtId="0" hierarchy="8" level="1">
      <sharedItems count="2">
        <s v="Female"/>
        <s v="Male"/>
      </sharedItems>
    </cacheField>
    <cacheField name="[Measures].[Count of Gender]" caption="Count of Gender" numFmtId="0" hierarchy="34" level="32767"/>
    <cacheField name="[Date].[Date (Month)].[Date (Month)]" caption="Date (Month)" numFmtId="0" hierarchy="3" level="1">
      <sharedItems containsSemiMixedTypes="0" containsNonDate="0" containsString="0"/>
    </cacheField>
    <cacheField name="[Date].[Date (Year)].[Date (Year)]" caption="Date (Year)" numFmtId="0" hierarchy="1" level="1">
      <sharedItems containsSemiMixedTypes="0" containsNonDate="0" containsString="0"/>
    </cacheField>
  </cacheFields>
  <cacheHierarchies count="36">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2" memberValueDatatype="130" unbalanced="0">
      <fieldsUsage count="2">
        <fieldUsage x="-1"/>
        <fieldUsage x="3"/>
      </fieldsUsage>
    </cacheHierarchy>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2" memberValueDatatype="130" unbalanced="0">
      <fieldsUsage count="2">
        <fieldUsage x="-1"/>
        <fieldUsage x="2"/>
      </fieldsUsage>
    </cacheHierarchy>
    <cacheHierarchy uniqueName="[Raw Data].[Patient_ID]" caption="Patient_ID" attribute="1" defaultMemberUniqueName="[Raw Data].[Patient_ID].[All]" allUniqueName="[Raw Data].[Patient_ID].[All]" dimensionUniqueName="[Raw Data]" displayFolder="" count="0" memberValueDatatype="130" unbalanced="0"/>
    <cacheHierarchy uniqueName="[Raw Data].[Admission_Date]" caption="Admission_Date" attribute="1" time="1" defaultMemberUniqueName="[Raw Data].[Admission_Date].[All]" allUniqueName="[Raw Data].[Admission_Date].[All]" dimensionUniqueName="[Raw Data]" displayFolder="" count="0" memberValueDatatype="7" unbalanced="0"/>
    <cacheHierarchy uniqueName="[Raw Data].[First_Name]" caption="First_Name" attribute="1" defaultMemberUniqueName="[Raw Data].[First_Name].[All]" allUniqueName="[Raw Data].[First_Name].[All]" dimensionUniqueName="[Raw Data]" displayFolder="" count="0" memberValueDatatype="130" unbalanced="0"/>
    <cacheHierarchy uniqueName="[Raw Data].[Last_Name]" caption="Last_Name" attribute="1" defaultMemberUniqueName="[Raw Data].[Last_Name].[All]" allUniqueName="[Raw Data].[Last_Name].[All]" dimensionUniqueName="[Raw Data]" displayFolder="" count="0" memberValueDatatype="130" unbalanced="0"/>
    <cacheHierarchy uniqueName="[Raw Data].[Gender]" caption="Gender" attribute="1" defaultMemberUniqueName="[Raw Data].[Gender].[All]" allUniqueName="[Raw Data].[Gender].[All]" dimensionUniqueName="[Raw Data]" displayFolder="" count="2" memberValueDatatype="130" unbalanced="0">
      <fieldsUsage count="2">
        <fieldUsage x="-1"/>
        <fieldUsage x="0"/>
      </fieldsUsage>
    </cacheHierarchy>
    <cacheHierarchy uniqueName="[Raw Data].[Age]" caption="Age" attribute="1" defaultMemberUniqueName="[Raw Data].[Age].[All]" allUniqueName="[Raw Data].[Age].[All]" dimensionUniqueName="[Raw Data]" displayFolder="" count="0" memberValueDatatype="20" unbalanced="0"/>
    <cacheHierarchy uniqueName="[Raw Data].[Race]" caption="Race" attribute="1" defaultMemberUniqueName="[Raw Data].[Race].[All]" allUniqueName="[Raw Data].[Race].[All]" dimensionUniqueName="[Raw Data]" displayFolder="" count="0" memberValueDatatype="130" unbalanced="0"/>
    <cacheHierarchy uniqueName="[Raw Data].[Departmental_Referral]" caption="Departmental_Referral" attribute="1" defaultMemberUniqueName="[Raw Data].[Departmental_Referral].[All]" allUniqueName="[Raw Data].[Departmental_Referral].[All]" dimensionUniqueName="[Raw Data]" displayFolder="" count="0" memberValueDatatype="130" unbalanced="0"/>
    <cacheHierarchy uniqueName="[Raw Data].[Admission_Flag]" caption="Admission_Flag" attribute="1" defaultMemberUniqueName="[Raw Data].[Admission_Flag].[All]" allUniqueName="[Raw Data].[Admission_Flag].[All]" dimensionUniqueName="[Raw Data]" displayFolder="" count="0" memberValueDatatype="130" unbalanced="0"/>
    <cacheHierarchy uniqueName="[Raw Data].[Satisfaction_Score]" caption="Satisfaction_Score" attribute="1" defaultMemberUniqueName="[Raw Data].[Satisfaction_Score].[All]" allUniqueName="[Raw Data].[Satisfaction_Score].[All]" dimensionUniqueName="[Raw Data]" displayFolder="" count="0" memberValueDatatype="20" unbalanced="0"/>
    <cacheHierarchy uniqueName="[Raw Data].[Wait_Time]" caption="Wait_Time" attribute="1" defaultMemberUniqueName="[Raw Data].[Wait_Time].[All]" allUniqueName="[Raw Data].[Wait_Time].[All]" dimensionUniqueName="[Raw Data]" displayFolder="" count="0" memberValueDatatype="20" unbalanced="0"/>
    <cacheHierarchy uniqueName="[Raw Data].[Age Group]" caption="Age Group" attribute="1" defaultMemberUniqueName="[Raw Data].[Age Group].[All]" allUniqueName="[Raw Data].[Age Group].[All]" dimensionUniqueName="[Raw Data]" displayFolder="" count="0" memberValueDatatype="130" unbalanced="0"/>
    <cacheHierarchy uniqueName="[Raw Data].[Patient Attend Time]" caption="Patient Attend Time" attribute="1" defaultMemberUniqueName="[Raw Data].[Patient Attend Time].[All]" allUniqueName="[Raw Data].[Patient Attend Time].[All]" dimensionUniqueName="[Raw Data]"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__XL_Count Raw Data]" caption="__XL_Count Raw Data" measure="1" displayFolder="" measureGroup="Raw 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Patient_ID]" caption="Count of Patient_ID" measure="1" displayFolder="" measureGroup="Raw Data" count="0" hidden="1">
      <extLst>
        <ext xmlns:x15="http://schemas.microsoft.com/office/spreadsheetml/2010/11/main" uri="{B97F6D7D-B522-45F9-BDA1-12C45D357490}">
          <x15:cacheHierarchy aggregatedColumn="4"/>
        </ext>
      </extLst>
    </cacheHierarchy>
    <cacheHierarchy uniqueName="[Measures].[Sum of Wait_Time]" caption="Sum of Wait_Time" measure="1" displayFolder="" measureGroup="Raw Data" count="0" hidden="1">
      <extLst>
        <ext xmlns:x15="http://schemas.microsoft.com/office/spreadsheetml/2010/11/main" uri="{B97F6D7D-B522-45F9-BDA1-12C45D357490}">
          <x15:cacheHierarchy aggregatedColumn="14"/>
        </ext>
      </extLst>
    </cacheHierarchy>
    <cacheHierarchy uniqueName="[Measures].[Average of Wait_Time]" caption="Average of Wait_Time" measure="1" displayFolder="" measureGroup="Raw Data" count="0" hidden="1">
      <extLst>
        <ext xmlns:x15="http://schemas.microsoft.com/office/spreadsheetml/2010/11/main" uri="{B97F6D7D-B522-45F9-BDA1-12C45D357490}">
          <x15:cacheHierarchy aggregatedColumn="14"/>
        </ext>
      </extLst>
    </cacheHierarchy>
    <cacheHierarchy uniqueName="[Measures].[Sum of Satisfaction_Score]" caption="Sum of Satisfaction_Score" measure="1" displayFolder="" measureGroup="Raw Data" count="0" hidden="1">
      <extLst>
        <ext xmlns:x15="http://schemas.microsoft.com/office/spreadsheetml/2010/11/main" uri="{B97F6D7D-B522-45F9-BDA1-12C45D357490}">
          <x15:cacheHierarchy aggregatedColumn="13"/>
        </ext>
      </extLst>
    </cacheHierarchy>
    <cacheHierarchy uniqueName="[Measures].[Average of Satisfaction_Score]" caption="Average of Satisfaction_Score" measure="1" displayFolder="" measureGroup="Raw Data" count="0" hidden="1">
      <extLst>
        <ext xmlns:x15="http://schemas.microsoft.com/office/spreadsheetml/2010/11/main" uri="{B97F6D7D-B522-45F9-BDA1-12C45D357490}">
          <x15:cacheHierarchy aggregatedColumn="13"/>
        </ext>
      </extLst>
    </cacheHierarchy>
    <cacheHierarchy uniqueName="[Measures].[Count of Date (Year)]" caption="Count of Date (Year)" measure="1" displayFolder="" measureGroup="Date" count="0" hidden="1">
      <extLst>
        <ext xmlns:x15="http://schemas.microsoft.com/office/spreadsheetml/2010/11/main" uri="{B97F6D7D-B522-45F9-BDA1-12C45D357490}">
          <x15:cacheHierarchy aggregatedColumn="1"/>
        </ext>
      </extLst>
    </cacheHierarchy>
    <cacheHierarchy uniqueName="[Measures].[Count of Date (Quarter)]" caption="Count of Date (Quarter)" measure="1" displayFolder="" measureGroup="Date" count="0" hidden="1">
      <extLst>
        <ext xmlns:x15="http://schemas.microsoft.com/office/spreadsheetml/2010/11/main" uri="{B97F6D7D-B522-45F9-BDA1-12C45D357490}">
          <x15:cacheHierarchy aggregatedColumn="2"/>
        </ext>
      </extLst>
    </cacheHierarchy>
    <cacheHierarchy uniqueName="[Measures].[Count of Date (Month)]" caption="Count of Date (Month)" measure="1" displayFolder="" measureGroup="Date" count="0" hidden="1">
      <extLst>
        <ext xmlns:x15="http://schemas.microsoft.com/office/spreadsheetml/2010/11/main" uri="{B97F6D7D-B522-45F9-BDA1-12C45D357490}">
          <x15:cacheHierarchy aggregatedColumn="3"/>
        </ext>
      </extLst>
    </cacheHierarchy>
    <cacheHierarchy uniqueName="[Measures].[Count of Date]" caption="Count of Date" measure="1" displayFolder="" measureGroup="Date" count="0" hidden="1">
      <extLst>
        <ext xmlns:x15="http://schemas.microsoft.com/office/spreadsheetml/2010/11/main" uri="{B97F6D7D-B522-45F9-BDA1-12C45D357490}">
          <x15:cacheHierarchy aggregatedColumn="0"/>
        </ext>
      </extLst>
    </cacheHierarchy>
    <cacheHierarchy uniqueName="[Measures].[Count of Patient Attend Time]" caption="Count of Patient Attend Time" measure="1" displayFolder="" measureGroup="Raw Data" count="0" hidden="1">
      <extLst>
        <ext xmlns:x15="http://schemas.microsoft.com/office/spreadsheetml/2010/11/main" uri="{B97F6D7D-B522-45F9-BDA1-12C45D357490}">
          <x15:cacheHierarchy aggregatedColumn="16"/>
        </ext>
      </extLst>
    </cacheHierarchy>
    <cacheHierarchy uniqueName="[Measures].[Count of Admission_Flag]" caption="Count of Admission_Flag" measure="1" displayFolder="" measureGroup="Raw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Raw Data"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Raw Data" count="0" hidden="1">
      <extLst>
        <ext xmlns:x15="http://schemas.microsoft.com/office/spreadsheetml/2010/11/main" uri="{B97F6D7D-B522-45F9-BDA1-12C45D357490}">
          <x15:cacheHierarchy aggregatedColumn="9"/>
        </ext>
      </extLst>
    </cacheHierarchy>
    <cacheHierarchy uniqueName="[Measures].[Count of Gender]" caption="Count of Gender" measure="1" displayFolder="" measureGroup="Raw Data"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Departmental_Referral]" caption="Count of Departmental_Referral" measure="1" displayFolder="" measureGroup="Raw Data" count="0" hidden="1">
      <extLst>
        <ext xmlns:x15="http://schemas.microsoft.com/office/spreadsheetml/2010/11/main" uri="{B97F6D7D-B522-45F9-BDA1-12C45D357490}">
          <x15:cacheHierarchy aggregatedColumn="11"/>
        </ext>
      </extLst>
    </cacheHierarchy>
  </cacheHierarchies>
  <kpis count="0"/>
  <dimensions count="3">
    <dimension name="Date" uniqueName="[Date]" caption="Date"/>
    <dimension measure="1" name="Measures" uniqueName="[Measures]" caption="Measures"/>
    <dimension name="Raw Data" uniqueName="[Raw Data]" caption="Raw Data"/>
  </dimensions>
  <measureGroups count="2">
    <measureGroup name="Date" caption="Date"/>
    <measureGroup name="Raw Data" caption="Raw 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3.834119212966" createdVersion="5" refreshedVersion="8" minRefreshableVersion="3" recordCount="0" supportSubquery="1" supportAdvancedDrill="1" xr:uid="{F266BE53-0FF5-4077-9F69-0DA9335915CF}">
  <cacheSource type="external" connectionId="3"/>
  <cacheFields count="2">
    <cacheField name="[Date].[Date (Month)].[Date (Month)]" caption="Date (Month)" numFmtId="0" hierarchy="3" level="1">
      <sharedItems count="1">
        <s v="Jan"/>
      </sharedItems>
    </cacheField>
    <cacheField name="[Date].[Date (Year)].[Date (Year)]" caption="Date (Year)" numFmtId="0" hierarchy="1" level="1">
      <sharedItems count="2">
        <s v="2024"/>
        <s v="2025"/>
      </sharedItems>
    </cacheField>
  </cacheFields>
  <cacheHierarchies count="36">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2" memberValueDatatype="130" unbalanced="0">
      <fieldsUsage count="2">
        <fieldUsage x="-1"/>
        <fieldUsage x="1"/>
      </fieldsUsage>
    </cacheHierarchy>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2" memberValueDatatype="130" unbalanced="0">
      <fieldsUsage count="2">
        <fieldUsage x="-1"/>
        <fieldUsage x="0"/>
      </fieldsUsage>
    </cacheHierarchy>
    <cacheHierarchy uniqueName="[Raw Data].[Patient_ID]" caption="Patient_ID" attribute="1" defaultMemberUniqueName="[Raw Data].[Patient_ID].[All]" allUniqueName="[Raw Data].[Patient_ID].[All]" dimensionUniqueName="[Raw Data]" displayFolder="" count="0" memberValueDatatype="130" unbalanced="0"/>
    <cacheHierarchy uniqueName="[Raw Data].[Admission_Date]" caption="Admission_Date" attribute="1" time="1" defaultMemberUniqueName="[Raw Data].[Admission_Date].[All]" allUniqueName="[Raw Data].[Admission_Date].[All]" dimensionUniqueName="[Raw Data]" displayFolder="" count="0" memberValueDatatype="7" unbalanced="0"/>
    <cacheHierarchy uniqueName="[Raw Data].[First_Name]" caption="First_Name" attribute="1" defaultMemberUniqueName="[Raw Data].[First_Name].[All]" allUniqueName="[Raw Data].[First_Name].[All]" dimensionUniqueName="[Raw Data]" displayFolder="" count="0" memberValueDatatype="130" unbalanced="0"/>
    <cacheHierarchy uniqueName="[Raw Data].[Last_Name]" caption="Last_Name" attribute="1" defaultMemberUniqueName="[Raw Data].[Last_Name].[All]" allUniqueName="[Raw Data].[Last_Name].[All]" dimensionUniqueName="[Raw Data]" displayFolder="" count="0" memberValueDatatype="130" unbalanced="0"/>
    <cacheHierarchy uniqueName="[Raw Data].[Gender]" caption="Gender" attribute="1" defaultMemberUniqueName="[Raw Data].[Gender].[All]" allUniqueName="[Raw Data].[Gender].[All]" dimensionUniqueName="[Raw Data]" displayFolder="" count="0" memberValueDatatype="130" unbalanced="0"/>
    <cacheHierarchy uniqueName="[Raw Data].[Age]" caption="Age" attribute="1" defaultMemberUniqueName="[Raw Data].[Age].[All]" allUniqueName="[Raw Data].[Age].[All]" dimensionUniqueName="[Raw Data]" displayFolder="" count="0" memberValueDatatype="20" unbalanced="0"/>
    <cacheHierarchy uniqueName="[Raw Data].[Race]" caption="Race" attribute="1" defaultMemberUniqueName="[Raw Data].[Race].[All]" allUniqueName="[Raw Data].[Race].[All]" dimensionUniqueName="[Raw Data]" displayFolder="" count="0" memberValueDatatype="130" unbalanced="0"/>
    <cacheHierarchy uniqueName="[Raw Data].[Departmental_Referral]" caption="Departmental_Referral" attribute="1" defaultMemberUniqueName="[Raw Data].[Departmental_Referral].[All]" allUniqueName="[Raw Data].[Departmental_Referral].[All]" dimensionUniqueName="[Raw Data]" displayFolder="" count="0" memberValueDatatype="130" unbalanced="0"/>
    <cacheHierarchy uniqueName="[Raw Data].[Admission_Flag]" caption="Admission_Flag" attribute="1" defaultMemberUniqueName="[Raw Data].[Admission_Flag].[All]" allUniqueName="[Raw Data].[Admission_Flag].[All]" dimensionUniqueName="[Raw Data]" displayFolder="" count="0" memberValueDatatype="130" unbalanced="0"/>
    <cacheHierarchy uniqueName="[Raw Data].[Satisfaction_Score]" caption="Satisfaction_Score" attribute="1" defaultMemberUniqueName="[Raw Data].[Satisfaction_Score].[All]" allUniqueName="[Raw Data].[Satisfaction_Score].[All]" dimensionUniqueName="[Raw Data]" displayFolder="" count="0" memberValueDatatype="20" unbalanced="0"/>
    <cacheHierarchy uniqueName="[Raw Data].[Wait_Time]" caption="Wait_Time" attribute="1" defaultMemberUniqueName="[Raw Data].[Wait_Time].[All]" allUniqueName="[Raw Data].[Wait_Time].[All]" dimensionUniqueName="[Raw Data]" displayFolder="" count="0" memberValueDatatype="20" unbalanced="0"/>
    <cacheHierarchy uniqueName="[Raw Data].[Age Group]" caption="Age Group" attribute="1" defaultMemberUniqueName="[Raw Data].[Age Group].[All]" allUniqueName="[Raw Data].[Age Group].[All]" dimensionUniqueName="[Raw Data]" displayFolder="" count="0" memberValueDatatype="130" unbalanced="0"/>
    <cacheHierarchy uniqueName="[Raw Data].[Patient Attend Time]" caption="Patient Attend Time" attribute="1" defaultMemberUniqueName="[Raw Data].[Patient Attend Time].[All]" allUniqueName="[Raw Data].[Patient Attend Time].[All]" dimensionUniqueName="[Raw Data]"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__XL_Count Raw Data]" caption="__XL_Count Raw Data" measure="1" displayFolder="" measureGroup="Raw 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Patient_ID]" caption="Count of Patient_ID" measure="1" displayFolder="" measureGroup="Raw Data" count="0" hidden="1">
      <extLst>
        <ext xmlns:x15="http://schemas.microsoft.com/office/spreadsheetml/2010/11/main" uri="{B97F6D7D-B522-45F9-BDA1-12C45D357490}">
          <x15:cacheHierarchy aggregatedColumn="4"/>
        </ext>
      </extLst>
    </cacheHierarchy>
    <cacheHierarchy uniqueName="[Measures].[Sum of Wait_Time]" caption="Sum of Wait_Time" measure="1" displayFolder="" measureGroup="Raw Data" count="0" hidden="1">
      <extLst>
        <ext xmlns:x15="http://schemas.microsoft.com/office/spreadsheetml/2010/11/main" uri="{B97F6D7D-B522-45F9-BDA1-12C45D357490}">
          <x15:cacheHierarchy aggregatedColumn="14"/>
        </ext>
      </extLst>
    </cacheHierarchy>
    <cacheHierarchy uniqueName="[Measures].[Average of Wait_Time]" caption="Average of Wait_Time" measure="1" displayFolder="" measureGroup="Raw Data" count="0" hidden="1">
      <extLst>
        <ext xmlns:x15="http://schemas.microsoft.com/office/spreadsheetml/2010/11/main" uri="{B97F6D7D-B522-45F9-BDA1-12C45D357490}">
          <x15:cacheHierarchy aggregatedColumn="14"/>
        </ext>
      </extLst>
    </cacheHierarchy>
    <cacheHierarchy uniqueName="[Measures].[Sum of Satisfaction_Score]" caption="Sum of Satisfaction_Score" measure="1" displayFolder="" measureGroup="Raw Data" count="0" hidden="1">
      <extLst>
        <ext xmlns:x15="http://schemas.microsoft.com/office/spreadsheetml/2010/11/main" uri="{B97F6D7D-B522-45F9-BDA1-12C45D357490}">
          <x15:cacheHierarchy aggregatedColumn="13"/>
        </ext>
      </extLst>
    </cacheHierarchy>
    <cacheHierarchy uniqueName="[Measures].[Average of Satisfaction_Score]" caption="Average of Satisfaction_Score" measure="1" displayFolder="" measureGroup="Raw Data" count="0" hidden="1">
      <extLst>
        <ext xmlns:x15="http://schemas.microsoft.com/office/spreadsheetml/2010/11/main" uri="{B97F6D7D-B522-45F9-BDA1-12C45D357490}">
          <x15:cacheHierarchy aggregatedColumn="13"/>
        </ext>
      </extLst>
    </cacheHierarchy>
    <cacheHierarchy uniqueName="[Measures].[Count of Date (Year)]" caption="Count of Date (Year)" measure="1" displayFolder="" measureGroup="Date" count="0" hidden="1">
      <extLst>
        <ext xmlns:x15="http://schemas.microsoft.com/office/spreadsheetml/2010/11/main" uri="{B97F6D7D-B522-45F9-BDA1-12C45D357490}">
          <x15:cacheHierarchy aggregatedColumn="1"/>
        </ext>
      </extLst>
    </cacheHierarchy>
    <cacheHierarchy uniqueName="[Measures].[Count of Date (Quarter)]" caption="Count of Date (Quarter)" measure="1" displayFolder="" measureGroup="Date" count="0" hidden="1">
      <extLst>
        <ext xmlns:x15="http://schemas.microsoft.com/office/spreadsheetml/2010/11/main" uri="{B97F6D7D-B522-45F9-BDA1-12C45D357490}">
          <x15:cacheHierarchy aggregatedColumn="2"/>
        </ext>
      </extLst>
    </cacheHierarchy>
    <cacheHierarchy uniqueName="[Measures].[Count of Date (Month)]" caption="Count of Date (Month)" measure="1" displayFolder="" measureGroup="Date" count="0" hidden="1">
      <extLst>
        <ext xmlns:x15="http://schemas.microsoft.com/office/spreadsheetml/2010/11/main" uri="{B97F6D7D-B522-45F9-BDA1-12C45D357490}">
          <x15:cacheHierarchy aggregatedColumn="3"/>
        </ext>
      </extLst>
    </cacheHierarchy>
    <cacheHierarchy uniqueName="[Measures].[Count of Date]" caption="Count of Date" measure="1" displayFolder="" measureGroup="Date" count="0" hidden="1">
      <extLst>
        <ext xmlns:x15="http://schemas.microsoft.com/office/spreadsheetml/2010/11/main" uri="{B97F6D7D-B522-45F9-BDA1-12C45D357490}">
          <x15:cacheHierarchy aggregatedColumn="0"/>
        </ext>
      </extLst>
    </cacheHierarchy>
    <cacheHierarchy uniqueName="[Measures].[Count of Patient Attend Time]" caption="Count of Patient Attend Time" measure="1" displayFolder="" measureGroup="Raw Data" count="0" hidden="1">
      <extLst>
        <ext xmlns:x15="http://schemas.microsoft.com/office/spreadsheetml/2010/11/main" uri="{B97F6D7D-B522-45F9-BDA1-12C45D357490}">
          <x15:cacheHierarchy aggregatedColumn="16"/>
        </ext>
      </extLst>
    </cacheHierarchy>
    <cacheHierarchy uniqueName="[Measures].[Count of Admission_Flag]" caption="Count of Admission_Flag" measure="1" displayFolder="" measureGroup="Raw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Raw Data"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Raw Data" count="0" hidden="1">
      <extLst>
        <ext xmlns:x15="http://schemas.microsoft.com/office/spreadsheetml/2010/11/main" uri="{B97F6D7D-B522-45F9-BDA1-12C45D357490}">
          <x15:cacheHierarchy aggregatedColumn="9"/>
        </ext>
      </extLst>
    </cacheHierarchy>
    <cacheHierarchy uniqueName="[Measures].[Count of Gender]" caption="Count of Gender" measure="1" displayFolder="" measureGroup="Raw Data" count="0" hidden="1">
      <extLst>
        <ext xmlns:x15="http://schemas.microsoft.com/office/spreadsheetml/2010/11/main" uri="{B97F6D7D-B522-45F9-BDA1-12C45D357490}">
          <x15:cacheHierarchy aggregatedColumn="8"/>
        </ext>
      </extLst>
    </cacheHierarchy>
    <cacheHierarchy uniqueName="[Measures].[Count of Departmental_Referral]" caption="Count of Departmental_Referral" measure="1" displayFolder="" measureGroup="Raw Data" count="0" hidden="1">
      <extLst>
        <ext xmlns:x15="http://schemas.microsoft.com/office/spreadsheetml/2010/11/main" uri="{B97F6D7D-B522-45F9-BDA1-12C45D357490}">
          <x15:cacheHierarchy aggregatedColumn="11"/>
        </ext>
      </extLst>
    </cacheHierarchy>
  </cacheHierarchies>
  <kpis count="0"/>
  <dimensions count="3">
    <dimension name="Date" uniqueName="[Date]" caption="Date"/>
    <dimension measure="1" name="Measures" uniqueName="[Measures]" caption="Measures"/>
    <dimension name="Raw Data" uniqueName="[Raw Data]" caption="Raw Data"/>
  </dimensions>
  <measureGroups count="2">
    <measureGroup name="Date" caption="Date"/>
    <measureGroup name="Raw Data" caption="Raw 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3.834803356483" createdVersion="5" refreshedVersion="8" minRefreshableVersion="3" recordCount="0" supportSubquery="1" supportAdvancedDrill="1" xr:uid="{68C11154-BA88-45CE-8A15-5DF4E481166A}">
  <cacheSource type="external" connectionId="3"/>
  <cacheFields count="2">
    <cacheField name="[Raw Data].[Departmental_Referral].[Departmental_Referral]" caption="Departmental_Referral" numFmtId="0" hierarchy="11" level="1">
      <sharedItems count="15">
        <s v="Cardiology"/>
        <s v="Dermatology"/>
        <s v="Emergency"/>
        <s v="ENT"/>
        <s v="General Medicine"/>
        <s v="Gynecology"/>
        <s v="Nephrology"/>
        <s v="Neurology"/>
        <s v="Oncology"/>
        <s v="Orthopedics"/>
        <s v="Pediatrics"/>
        <s v="Psychiatry"/>
        <s v="Pulmonology"/>
        <s v="Self"/>
        <s v="Urology"/>
      </sharedItems>
    </cacheField>
    <cacheField name="[Measures].[Count of Departmental_Referral]" caption="Count of Departmental_Referral" numFmtId="0" hierarchy="35" level="32767"/>
  </cacheFields>
  <cacheHierarchies count="36">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2"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2" memberValueDatatype="130" unbalanced="0"/>
    <cacheHierarchy uniqueName="[Raw Data].[Patient_ID]" caption="Patient_ID" attribute="1" defaultMemberUniqueName="[Raw Data].[Patient_ID].[All]" allUniqueName="[Raw Data].[Patient_ID].[All]" dimensionUniqueName="[Raw Data]" displayFolder="" count="0" memberValueDatatype="130" unbalanced="0"/>
    <cacheHierarchy uniqueName="[Raw Data].[Admission_Date]" caption="Admission_Date" attribute="1" time="1" defaultMemberUniqueName="[Raw Data].[Admission_Date].[All]" allUniqueName="[Raw Data].[Admission_Date].[All]" dimensionUniqueName="[Raw Data]" displayFolder="" count="0" memberValueDatatype="7" unbalanced="0"/>
    <cacheHierarchy uniqueName="[Raw Data].[First_Name]" caption="First_Name" attribute="1" defaultMemberUniqueName="[Raw Data].[First_Name].[All]" allUniqueName="[Raw Data].[First_Name].[All]" dimensionUniqueName="[Raw Data]" displayFolder="" count="0" memberValueDatatype="130" unbalanced="0"/>
    <cacheHierarchy uniqueName="[Raw Data].[Last_Name]" caption="Last_Name" attribute="1" defaultMemberUniqueName="[Raw Data].[Last_Name].[All]" allUniqueName="[Raw Data].[Last_Name].[All]" dimensionUniqueName="[Raw Data]" displayFolder="" count="0" memberValueDatatype="130" unbalanced="0"/>
    <cacheHierarchy uniqueName="[Raw Data].[Gender]" caption="Gender" attribute="1" defaultMemberUniqueName="[Raw Data].[Gender].[All]" allUniqueName="[Raw Data].[Gender].[All]" dimensionUniqueName="[Raw Data]" displayFolder="" count="0" memberValueDatatype="130" unbalanced="0"/>
    <cacheHierarchy uniqueName="[Raw Data].[Age]" caption="Age" attribute="1" defaultMemberUniqueName="[Raw Data].[Age].[All]" allUniqueName="[Raw Data].[Age].[All]" dimensionUniqueName="[Raw Data]" displayFolder="" count="0" memberValueDatatype="20" unbalanced="0"/>
    <cacheHierarchy uniqueName="[Raw Data].[Race]" caption="Race" attribute="1" defaultMemberUniqueName="[Raw Data].[Race].[All]" allUniqueName="[Raw Data].[Race].[All]" dimensionUniqueName="[Raw Data]" displayFolder="" count="0" memberValueDatatype="130" unbalanced="0"/>
    <cacheHierarchy uniqueName="[Raw Data].[Departmental_Referral]" caption="Departmental_Referral" attribute="1" defaultMemberUniqueName="[Raw Data].[Departmental_Referral].[All]" allUniqueName="[Raw Data].[Departmental_Referral].[All]" dimensionUniqueName="[Raw Data]" displayFolder="" count="2" memberValueDatatype="130" unbalanced="0">
      <fieldsUsage count="2">
        <fieldUsage x="-1"/>
        <fieldUsage x="0"/>
      </fieldsUsage>
    </cacheHierarchy>
    <cacheHierarchy uniqueName="[Raw Data].[Admission_Flag]" caption="Admission_Flag" attribute="1" defaultMemberUniqueName="[Raw Data].[Admission_Flag].[All]" allUniqueName="[Raw Data].[Admission_Flag].[All]" dimensionUniqueName="[Raw Data]" displayFolder="" count="0" memberValueDatatype="130" unbalanced="0"/>
    <cacheHierarchy uniqueName="[Raw Data].[Satisfaction_Score]" caption="Satisfaction_Score" attribute="1" defaultMemberUniqueName="[Raw Data].[Satisfaction_Score].[All]" allUniqueName="[Raw Data].[Satisfaction_Score].[All]" dimensionUniqueName="[Raw Data]" displayFolder="" count="0" memberValueDatatype="20" unbalanced="0"/>
    <cacheHierarchy uniqueName="[Raw Data].[Wait_Time]" caption="Wait_Time" attribute="1" defaultMemberUniqueName="[Raw Data].[Wait_Time].[All]" allUniqueName="[Raw Data].[Wait_Time].[All]" dimensionUniqueName="[Raw Data]" displayFolder="" count="0" memberValueDatatype="20" unbalanced="0"/>
    <cacheHierarchy uniqueName="[Raw Data].[Age Group]" caption="Age Group" attribute="1" defaultMemberUniqueName="[Raw Data].[Age Group].[All]" allUniqueName="[Raw Data].[Age Group].[All]" dimensionUniqueName="[Raw Data]" displayFolder="" count="0" memberValueDatatype="130" unbalanced="0"/>
    <cacheHierarchy uniqueName="[Raw Data].[Patient Attend Time]" caption="Patient Attend Time" attribute="1" defaultMemberUniqueName="[Raw Data].[Patient Attend Time].[All]" allUniqueName="[Raw Data].[Patient Attend Time].[All]" dimensionUniqueName="[Raw Data]"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__XL_Count Raw Data]" caption="__XL_Count Raw Data" measure="1" displayFolder="" measureGroup="Raw 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Patient_ID]" caption="Count of Patient_ID" measure="1" displayFolder="" measureGroup="Raw Data" count="0" hidden="1">
      <extLst>
        <ext xmlns:x15="http://schemas.microsoft.com/office/spreadsheetml/2010/11/main" uri="{B97F6D7D-B522-45F9-BDA1-12C45D357490}">
          <x15:cacheHierarchy aggregatedColumn="4"/>
        </ext>
      </extLst>
    </cacheHierarchy>
    <cacheHierarchy uniqueName="[Measures].[Sum of Wait_Time]" caption="Sum of Wait_Time" measure="1" displayFolder="" measureGroup="Raw Data" count="0" hidden="1">
      <extLst>
        <ext xmlns:x15="http://schemas.microsoft.com/office/spreadsheetml/2010/11/main" uri="{B97F6D7D-B522-45F9-BDA1-12C45D357490}">
          <x15:cacheHierarchy aggregatedColumn="14"/>
        </ext>
      </extLst>
    </cacheHierarchy>
    <cacheHierarchy uniqueName="[Measures].[Average of Wait_Time]" caption="Average of Wait_Time" measure="1" displayFolder="" measureGroup="Raw Data" count="0" hidden="1">
      <extLst>
        <ext xmlns:x15="http://schemas.microsoft.com/office/spreadsheetml/2010/11/main" uri="{B97F6D7D-B522-45F9-BDA1-12C45D357490}">
          <x15:cacheHierarchy aggregatedColumn="14"/>
        </ext>
      </extLst>
    </cacheHierarchy>
    <cacheHierarchy uniqueName="[Measures].[Sum of Satisfaction_Score]" caption="Sum of Satisfaction_Score" measure="1" displayFolder="" measureGroup="Raw Data" count="0" hidden="1">
      <extLst>
        <ext xmlns:x15="http://schemas.microsoft.com/office/spreadsheetml/2010/11/main" uri="{B97F6D7D-B522-45F9-BDA1-12C45D357490}">
          <x15:cacheHierarchy aggregatedColumn="13"/>
        </ext>
      </extLst>
    </cacheHierarchy>
    <cacheHierarchy uniqueName="[Measures].[Average of Satisfaction_Score]" caption="Average of Satisfaction_Score" measure="1" displayFolder="" measureGroup="Raw Data" count="0" hidden="1">
      <extLst>
        <ext xmlns:x15="http://schemas.microsoft.com/office/spreadsheetml/2010/11/main" uri="{B97F6D7D-B522-45F9-BDA1-12C45D357490}">
          <x15:cacheHierarchy aggregatedColumn="13"/>
        </ext>
      </extLst>
    </cacheHierarchy>
    <cacheHierarchy uniqueName="[Measures].[Count of Date (Year)]" caption="Count of Date (Year)" measure="1" displayFolder="" measureGroup="Date" count="0" hidden="1">
      <extLst>
        <ext xmlns:x15="http://schemas.microsoft.com/office/spreadsheetml/2010/11/main" uri="{B97F6D7D-B522-45F9-BDA1-12C45D357490}">
          <x15:cacheHierarchy aggregatedColumn="1"/>
        </ext>
      </extLst>
    </cacheHierarchy>
    <cacheHierarchy uniqueName="[Measures].[Count of Date (Quarter)]" caption="Count of Date (Quarter)" measure="1" displayFolder="" measureGroup="Date" count="0" hidden="1">
      <extLst>
        <ext xmlns:x15="http://schemas.microsoft.com/office/spreadsheetml/2010/11/main" uri="{B97F6D7D-B522-45F9-BDA1-12C45D357490}">
          <x15:cacheHierarchy aggregatedColumn="2"/>
        </ext>
      </extLst>
    </cacheHierarchy>
    <cacheHierarchy uniqueName="[Measures].[Count of Date (Month)]" caption="Count of Date (Month)" measure="1" displayFolder="" measureGroup="Date" count="0" hidden="1">
      <extLst>
        <ext xmlns:x15="http://schemas.microsoft.com/office/spreadsheetml/2010/11/main" uri="{B97F6D7D-B522-45F9-BDA1-12C45D357490}">
          <x15:cacheHierarchy aggregatedColumn="3"/>
        </ext>
      </extLst>
    </cacheHierarchy>
    <cacheHierarchy uniqueName="[Measures].[Count of Date]" caption="Count of Date" measure="1" displayFolder="" measureGroup="Date" count="0" hidden="1">
      <extLst>
        <ext xmlns:x15="http://schemas.microsoft.com/office/spreadsheetml/2010/11/main" uri="{B97F6D7D-B522-45F9-BDA1-12C45D357490}">
          <x15:cacheHierarchy aggregatedColumn="0"/>
        </ext>
      </extLst>
    </cacheHierarchy>
    <cacheHierarchy uniqueName="[Measures].[Count of Patient Attend Time]" caption="Count of Patient Attend Time" measure="1" displayFolder="" measureGroup="Raw Data" count="0" hidden="1">
      <extLst>
        <ext xmlns:x15="http://schemas.microsoft.com/office/spreadsheetml/2010/11/main" uri="{B97F6D7D-B522-45F9-BDA1-12C45D357490}">
          <x15:cacheHierarchy aggregatedColumn="16"/>
        </ext>
      </extLst>
    </cacheHierarchy>
    <cacheHierarchy uniqueName="[Measures].[Count of Admission_Flag]" caption="Count of Admission_Flag" measure="1" displayFolder="" measureGroup="Raw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Raw Data"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Raw Data" count="0" hidden="1">
      <extLst>
        <ext xmlns:x15="http://schemas.microsoft.com/office/spreadsheetml/2010/11/main" uri="{B97F6D7D-B522-45F9-BDA1-12C45D357490}">
          <x15:cacheHierarchy aggregatedColumn="9"/>
        </ext>
      </extLst>
    </cacheHierarchy>
    <cacheHierarchy uniqueName="[Measures].[Count of Gender]" caption="Count of Gender" measure="1" displayFolder="" measureGroup="Raw Data" count="0" hidden="1">
      <extLst>
        <ext xmlns:x15="http://schemas.microsoft.com/office/spreadsheetml/2010/11/main" uri="{B97F6D7D-B522-45F9-BDA1-12C45D357490}">
          <x15:cacheHierarchy aggregatedColumn="8"/>
        </ext>
      </extLst>
    </cacheHierarchy>
    <cacheHierarchy uniqueName="[Measures].[Count of Departmental_Referral]" caption="Count of Departmental_Referral" measure="1" displayFolder="" measureGroup="Raw Data" count="0" oneField="1" hidden="1">
      <fieldsUsage count="1">
        <fieldUsage x="1"/>
      </fieldsUsage>
      <extLst>
        <ext xmlns:x15="http://schemas.microsoft.com/office/spreadsheetml/2010/11/main" uri="{B97F6D7D-B522-45F9-BDA1-12C45D357490}">
          <x15:cacheHierarchy aggregatedColumn="11"/>
        </ext>
      </extLst>
    </cacheHierarchy>
  </cacheHierarchies>
  <kpis count="0"/>
  <dimensions count="3">
    <dimension name="Date" uniqueName="[Date]" caption="Date"/>
    <dimension measure="1" name="Measures" uniqueName="[Measures]" caption="Measures"/>
    <dimension name="Raw Data" uniqueName="[Raw Data]" caption="Raw Data"/>
  </dimensions>
  <measureGroups count="2">
    <measureGroup name="Date" caption="Date"/>
    <measureGroup name="Raw Data" caption="Raw 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3.834098611114" createdVersion="3" refreshedVersion="8" minRefreshableVersion="3" recordCount="0" supportSubquery="1" supportAdvancedDrill="1" xr:uid="{EDC31197-09C7-44C2-AED1-E57675111A9E}">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Date].[Date]" caption="Date" attribute="1" time="1" defaultMemberUniqueName="[Date].[Date].[All]" allUniqueName="[Date].[Date].[All]" dimensionUniqueName="[Date]" displayFolder="" count="0" memberValueDatatype="7" unbalanced="0"/>
    <cacheHierarchy uniqueName="[Date].[Date (Year)]" caption="Date (Year)" attribute="1" defaultMemberUniqueName="[Date].[Date (Year)].[All]" allUniqueName="[Date].[Date (Year)].[All]" dimensionUniqueName="[Date]" displayFolder="" count="2"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2" memberValueDatatype="130" unbalanced="0"/>
    <cacheHierarchy uniqueName="[Raw Data].[Patient_ID]" caption="Patient_ID" attribute="1" defaultMemberUniqueName="[Raw Data].[Patient_ID].[All]" allUniqueName="[Raw Data].[Patient_ID].[All]" dimensionUniqueName="[Raw Data]" displayFolder="" count="0" memberValueDatatype="130" unbalanced="0"/>
    <cacheHierarchy uniqueName="[Raw Data].[Admission_Date]" caption="Admission_Date" attribute="1" time="1" defaultMemberUniqueName="[Raw Data].[Admission_Date].[All]" allUniqueName="[Raw Data].[Admission_Date].[All]" dimensionUniqueName="[Raw Data]" displayFolder="" count="0" memberValueDatatype="7" unbalanced="0"/>
    <cacheHierarchy uniqueName="[Raw Data].[First_Name]" caption="First_Name" attribute="1" defaultMemberUniqueName="[Raw Data].[First_Name].[All]" allUniqueName="[Raw Data].[First_Name].[All]" dimensionUniqueName="[Raw Data]" displayFolder="" count="0" memberValueDatatype="130" unbalanced="0"/>
    <cacheHierarchy uniqueName="[Raw Data].[Last_Name]" caption="Last_Name" attribute="1" defaultMemberUniqueName="[Raw Data].[Last_Name].[All]" allUniqueName="[Raw Data].[Last_Name].[All]" dimensionUniqueName="[Raw Data]" displayFolder="" count="0" memberValueDatatype="130" unbalanced="0"/>
    <cacheHierarchy uniqueName="[Raw Data].[Gender]" caption="Gender" attribute="1" defaultMemberUniqueName="[Raw Data].[Gender].[All]" allUniqueName="[Raw Data].[Gender].[All]" dimensionUniqueName="[Raw Data]" displayFolder="" count="0" memberValueDatatype="130" unbalanced="0"/>
    <cacheHierarchy uniqueName="[Raw Data].[Age]" caption="Age" attribute="1" defaultMemberUniqueName="[Raw Data].[Age].[All]" allUniqueName="[Raw Data].[Age].[All]" dimensionUniqueName="[Raw Data]" displayFolder="" count="0" memberValueDatatype="20" unbalanced="0"/>
    <cacheHierarchy uniqueName="[Raw Data].[Race]" caption="Race" attribute="1" defaultMemberUniqueName="[Raw Data].[Race].[All]" allUniqueName="[Raw Data].[Race].[All]" dimensionUniqueName="[Raw Data]" displayFolder="" count="0" memberValueDatatype="130" unbalanced="0"/>
    <cacheHierarchy uniqueName="[Raw Data].[Departmental_Referral]" caption="Departmental_Referral" attribute="1" defaultMemberUniqueName="[Raw Data].[Departmental_Referral].[All]" allUniqueName="[Raw Data].[Departmental_Referral].[All]" dimensionUniqueName="[Raw Data]" displayFolder="" count="0" memberValueDatatype="130" unbalanced="0"/>
    <cacheHierarchy uniqueName="[Raw Data].[Admission_Flag]" caption="Admission_Flag" attribute="1" defaultMemberUniqueName="[Raw Data].[Admission_Flag].[All]" allUniqueName="[Raw Data].[Admission_Flag].[All]" dimensionUniqueName="[Raw Data]" displayFolder="" count="0" memberValueDatatype="130" unbalanced="0"/>
    <cacheHierarchy uniqueName="[Raw Data].[Satisfaction_Score]" caption="Satisfaction_Score" attribute="1" defaultMemberUniqueName="[Raw Data].[Satisfaction_Score].[All]" allUniqueName="[Raw Data].[Satisfaction_Score].[All]" dimensionUniqueName="[Raw Data]" displayFolder="" count="0" memberValueDatatype="20" unbalanced="0"/>
    <cacheHierarchy uniqueName="[Raw Data].[Wait_Time]" caption="Wait_Time" attribute="1" defaultMemberUniqueName="[Raw Data].[Wait_Time].[All]" allUniqueName="[Raw Data].[Wait_Time].[All]" dimensionUniqueName="[Raw Data]" displayFolder="" count="0" memberValueDatatype="20" unbalanced="0"/>
    <cacheHierarchy uniqueName="[Raw Data].[Age Group]" caption="Age Group" attribute="1" defaultMemberUniqueName="[Raw Data].[Age Group].[All]" allUniqueName="[Raw Data].[Age Group].[All]" dimensionUniqueName="[Raw Data]" displayFolder="" count="0" memberValueDatatype="130" unbalanced="0"/>
    <cacheHierarchy uniqueName="[Raw Data].[Patient Attend Time]" caption="Patient Attend Time" attribute="1" defaultMemberUniqueName="[Raw Data].[Patient Attend Time].[All]" allUniqueName="[Raw Data].[Patient Attend Time].[All]" dimensionUniqueName="[Raw Data]" displayFolder="" count="0" memberValueDatatype="13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__XL_Count Raw Data]" caption="__XL_Count Raw Data" measure="1" displayFolder="" measureGroup="Raw 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Patient_ID]" caption="Count of Patient_ID" measure="1" displayFolder="" measureGroup="Raw Data" count="0" hidden="1">
      <extLst>
        <ext xmlns:x15="http://schemas.microsoft.com/office/spreadsheetml/2010/11/main" uri="{B97F6D7D-B522-45F9-BDA1-12C45D357490}">
          <x15:cacheHierarchy aggregatedColumn="4"/>
        </ext>
      </extLst>
    </cacheHierarchy>
    <cacheHierarchy uniqueName="[Measures].[Sum of Wait_Time]" caption="Sum of Wait_Time" measure="1" displayFolder="" measureGroup="Raw Data" count="0" hidden="1">
      <extLst>
        <ext xmlns:x15="http://schemas.microsoft.com/office/spreadsheetml/2010/11/main" uri="{B97F6D7D-B522-45F9-BDA1-12C45D357490}">
          <x15:cacheHierarchy aggregatedColumn="14"/>
        </ext>
      </extLst>
    </cacheHierarchy>
    <cacheHierarchy uniqueName="[Measures].[Average of Wait_Time]" caption="Average of Wait_Time" measure="1" displayFolder="" measureGroup="Raw Data" count="0" hidden="1">
      <extLst>
        <ext xmlns:x15="http://schemas.microsoft.com/office/spreadsheetml/2010/11/main" uri="{B97F6D7D-B522-45F9-BDA1-12C45D357490}">
          <x15:cacheHierarchy aggregatedColumn="14"/>
        </ext>
      </extLst>
    </cacheHierarchy>
    <cacheHierarchy uniqueName="[Measures].[Sum of Satisfaction_Score]" caption="Sum of Satisfaction_Score" measure="1" displayFolder="" measureGroup="Raw Data" count="0" hidden="1">
      <extLst>
        <ext xmlns:x15="http://schemas.microsoft.com/office/spreadsheetml/2010/11/main" uri="{B97F6D7D-B522-45F9-BDA1-12C45D357490}">
          <x15:cacheHierarchy aggregatedColumn="13"/>
        </ext>
      </extLst>
    </cacheHierarchy>
    <cacheHierarchy uniqueName="[Measures].[Average of Satisfaction_Score]" caption="Average of Satisfaction_Score" measure="1" displayFolder="" measureGroup="Raw Data" count="0" hidden="1">
      <extLst>
        <ext xmlns:x15="http://schemas.microsoft.com/office/spreadsheetml/2010/11/main" uri="{B97F6D7D-B522-45F9-BDA1-12C45D357490}">
          <x15:cacheHierarchy aggregatedColumn="13"/>
        </ext>
      </extLst>
    </cacheHierarchy>
    <cacheHierarchy uniqueName="[Measures].[Count of Date (Year)]" caption="Count of Date (Year)" measure="1" displayFolder="" measureGroup="Date" count="0" hidden="1">
      <extLst>
        <ext xmlns:x15="http://schemas.microsoft.com/office/spreadsheetml/2010/11/main" uri="{B97F6D7D-B522-45F9-BDA1-12C45D357490}">
          <x15:cacheHierarchy aggregatedColumn="1"/>
        </ext>
      </extLst>
    </cacheHierarchy>
    <cacheHierarchy uniqueName="[Measures].[Count of Date (Quarter)]" caption="Count of Date (Quarter)" measure="1" displayFolder="" measureGroup="Date" count="0" hidden="1">
      <extLst>
        <ext xmlns:x15="http://schemas.microsoft.com/office/spreadsheetml/2010/11/main" uri="{B97F6D7D-B522-45F9-BDA1-12C45D357490}">
          <x15:cacheHierarchy aggregatedColumn="2"/>
        </ext>
      </extLst>
    </cacheHierarchy>
    <cacheHierarchy uniqueName="[Measures].[Count of Date (Month)]" caption="Count of Date (Month)" measure="1" displayFolder="" measureGroup="Date" count="0" hidden="1">
      <extLst>
        <ext xmlns:x15="http://schemas.microsoft.com/office/spreadsheetml/2010/11/main" uri="{B97F6D7D-B522-45F9-BDA1-12C45D357490}">
          <x15:cacheHierarchy aggregatedColumn="3"/>
        </ext>
      </extLst>
    </cacheHierarchy>
    <cacheHierarchy uniqueName="[Measures].[Count of Date]" caption="Count of Date" measure="1" displayFolder="" measureGroup="Date" count="0" hidden="1">
      <extLst>
        <ext xmlns:x15="http://schemas.microsoft.com/office/spreadsheetml/2010/11/main" uri="{B97F6D7D-B522-45F9-BDA1-12C45D357490}">
          <x15:cacheHierarchy aggregatedColumn="0"/>
        </ext>
      </extLst>
    </cacheHierarchy>
    <cacheHierarchy uniqueName="[Measures].[Count of Patient Attend Time]" caption="Count of Patient Attend Time" measure="1" displayFolder="" measureGroup="Raw Data" count="0" hidden="1">
      <extLst>
        <ext xmlns:x15="http://schemas.microsoft.com/office/spreadsheetml/2010/11/main" uri="{B97F6D7D-B522-45F9-BDA1-12C45D357490}">
          <x15:cacheHierarchy aggregatedColumn="16"/>
        </ext>
      </extLst>
    </cacheHierarchy>
    <cacheHierarchy uniqueName="[Measures].[Count of Admission_Flag]" caption="Count of Admission_Flag" measure="1" displayFolder="" measureGroup="Raw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Raw Data"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Raw Data" count="0" hidden="1">
      <extLst>
        <ext xmlns:x15="http://schemas.microsoft.com/office/spreadsheetml/2010/11/main" uri="{B97F6D7D-B522-45F9-BDA1-12C45D357490}">
          <x15:cacheHierarchy aggregatedColumn="9"/>
        </ext>
      </extLst>
    </cacheHierarchy>
    <cacheHierarchy uniqueName="[Measures].[Count of Gender]" caption="Count of Gender" measure="1" displayFolder="" measureGroup="Raw Data" count="0" hidden="1">
      <extLst>
        <ext xmlns:x15="http://schemas.microsoft.com/office/spreadsheetml/2010/11/main" uri="{B97F6D7D-B522-45F9-BDA1-12C45D357490}">
          <x15:cacheHierarchy aggregatedColumn="8"/>
        </ext>
      </extLst>
    </cacheHierarchy>
    <cacheHierarchy uniqueName="[Measures].[Count of Departmental_Referral]" caption="Count of Departmental_Referral" measure="1" displayFolder="" measureGroup="Raw Data"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74034314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9A19F9-E485-4EE7-9973-CCD9EA4AE2E9}" name="PivotTable13" cacheId="139" applyNumberFormats="0" applyBorderFormats="0" applyFontFormats="0" applyPatternFormats="0" applyAlignmentFormats="0" applyWidthHeightFormats="1" dataCaption="Values" tag="8154fd83-6ba1-49e8-984b-008378345f2b" updatedVersion="8" minRefreshableVersion="3" subtotalHiddenItems="1" itemPrintTitles="1" createdVersion="5" indent="0" outline="1" outlineData="1" multipleFieldFilters="0" chartFormat="59" rowHeaderCaption="Department">
  <location ref="I18:J34" firstHeaderRow="1" firstDataRow="1" firstDataCol="1"/>
  <pivotFields count="2">
    <pivotField axis="axisRow" allDrilled="1" subtotalTop="0" showAll="0" sortType="a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6">
    <i>
      <x v="5"/>
    </i>
    <i>
      <x v="14"/>
    </i>
    <i>
      <x v="8"/>
    </i>
    <i>
      <x v="12"/>
    </i>
    <i>
      <x v="4"/>
    </i>
    <i>
      <x v="1"/>
    </i>
    <i>
      <x v="7"/>
    </i>
    <i>
      <x v="11"/>
    </i>
    <i>
      <x v="2"/>
    </i>
    <i>
      <x v="9"/>
    </i>
    <i>
      <x/>
    </i>
    <i>
      <x v="3"/>
    </i>
    <i>
      <x v="10"/>
    </i>
    <i>
      <x v="6"/>
    </i>
    <i>
      <x v="13"/>
    </i>
    <i t="grand">
      <x/>
    </i>
  </rowItems>
  <colItems count="1">
    <i/>
  </colItems>
  <dataFields count="1">
    <dataField name="Count" fld="1" subtotal="count" baseField="0" baseItem="0"/>
  </dataFields>
  <formats count="4">
    <format dxfId="83">
      <pivotArea type="all" dataOnly="0" outline="0" fieldPosition="0"/>
    </format>
    <format dxfId="82">
      <pivotArea outline="0" collapsedLevelsAreSubtotals="1" fieldPosition="0"/>
    </format>
    <format dxfId="81">
      <pivotArea dataOnly="0" labelOnly="1" grandRow="1" outline="0" fieldPosition="0"/>
    </format>
    <format dxfId="80">
      <pivotArea dataOnly="0" labelOnly="1" outline="0" axis="axisValues" fieldPosition="0"/>
    </format>
  </formats>
  <chartFormats count="4">
    <chartFormat chart="54" format="0" series="1">
      <pivotArea type="data" outline="0" fieldPosition="0">
        <references count="1">
          <reference field="4294967294" count="1" selected="0">
            <x v="0"/>
          </reference>
        </references>
      </pivotArea>
    </chartFormat>
    <chartFormat chart="56" format="1" series="1">
      <pivotArea type="data" outline="0" fieldPosition="0">
        <references count="1">
          <reference field="4294967294" count="1" selected="0">
            <x v="0"/>
          </reference>
        </references>
      </pivotArea>
    </chartFormat>
    <chartFormat chart="57" format="2" series="1">
      <pivotArea type="data" outline="0" fieldPosition="0">
        <references count="1">
          <reference field="4294967294" count="1" selected="0">
            <x v="0"/>
          </reference>
        </references>
      </pivotArea>
    </chartFormat>
    <chartFormat chart="58"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Patient_ID"/>
    <pivotHierarchy dragToData="1"/>
    <pivotHierarchy dragToData="1" caption="Average Wait_Time"/>
    <pivotHierarchy dragToData="1"/>
    <pivotHierarchy dragToData="1" caption="Average Satisfaction_Score"/>
    <pivotHierarchy dragToData="1"/>
    <pivotHierarchy dragToData="1"/>
    <pivotHierarchy dragToData="1"/>
    <pivotHierarchy dragToData="1"/>
    <pivotHierarchy dragToData="1" caption="Count"/>
    <pivotHierarchy dragToData="1" caption="Patient"/>
    <pivotHierarchy dragToData="1" caption="Count"/>
    <pivotHierarchy dragToData="1"/>
    <pivotHierarchy dragToData="1" caption="Count"/>
    <pivotHierarchy dragToData="1" caption="Count"/>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5C01DB-7C69-45A2-AFDD-1EB02FFCDB7E}" name="PivotTable12" cacheId="127" applyNumberFormats="0" applyBorderFormats="0" applyFontFormats="0" applyPatternFormats="0" applyAlignmentFormats="0" applyWidthHeightFormats="1" dataCaption="Values" tag="8154fd83-6ba1-49e8-984b-008378345f2b" updatedVersion="8" minRefreshableVersion="3" subtotalHiddenItems="1" itemPrintTitles="1" createdVersion="5" indent="0" outline="1" outlineData="1" multipleFieldFilters="0" chartFormat="54" rowHeaderCaption="Gender">
  <location ref="D34:E37"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fld="1" subtotal="count" baseField="0" baseItem="0"/>
  </dataFields>
  <formats count="6">
    <format dxfId="89">
      <pivotArea type="all" dataOnly="0" outline="0" fieldPosition="0"/>
    </format>
    <format dxfId="88">
      <pivotArea outline="0" collapsedLevelsAreSubtotals="1" fieldPosition="0"/>
    </format>
    <format dxfId="87">
      <pivotArea field="0" type="button" dataOnly="0" labelOnly="1" outline="0" axis="axisRow" fieldPosition="0"/>
    </format>
    <format dxfId="86">
      <pivotArea dataOnly="0" labelOnly="1" fieldPosition="0">
        <references count="1">
          <reference field="0" count="0"/>
        </references>
      </pivotArea>
    </format>
    <format dxfId="85">
      <pivotArea dataOnly="0" labelOnly="1" grandRow="1" outline="0" fieldPosition="0"/>
    </format>
    <format dxfId="84">
      <pivotArea dataOnly="0" labelOnly="1" outline="0" axis="axisValues" fieldPosition="0"/>
    </format>
  </formats>
  <chartFormats count="12">
    <chartFormat chart="47" format="0" series="1">
      <pivotArea type="data" outline="0" fieldPosition="0">
        <references count="1">
          <reference field="4294967294" count="1" selected="0">
            <x v="0"/>
          </reference>
        </references>
      </pivotArea>
    </chartFormat>
    <chartFormat chart="47" format="1">
      <pivotArea type="data" outline="0" fieldPosition="0">
        <references count="2">
          <reference field="4294967294" count="1" selected="0">
            <x v="0"/>
          </reference>
          <reference field="0" count="1" selected="0">
            <x v="0"/>
          </reference>
        </references>
      </pivotArea>
    </chartFormat>
    <chartFormat chart="47" format="2">
      <pivotArea type="data" outline="0" fieldPosition="0">
        <references count="2">
          <reference field="4294967294" count="1" selected="0">
            <x v="0"/>
          </reference>
          <reference field="0" count="1" selected="0">
            <x v="1"/>
          </reference>
        </references>
      </pivotArea>
    </chartFormat>
    <chartFormat chart="49" format="3" series="1">
      <pivotArea type="data" outline="0" fieldPosition="0">
        <references count="1">
          <reference field="4294967294" count="1" selected="0">
            <x v="0"/>
          </reference>
        </references>
      </pivotArea>
    </chartFormat>
    <chartFormat chart="49" format="4">
      <pivotArea type="data" outline="0" fieldPosition="0">
        <references count="2">
          <reference field="4294967294" count="1" selected="0">
            <x v="0"/>
          </reference>
          <reference field="0" count="1" selected="0">
            <x v="0"/>
          </reference>
        </references>
      </pivotArea>
    </chartFormat>
    <chartFormat chart="49" format="5">
      <pivotArea type="data" outline="0" fieldPosition="0">
        <references count="2">
          <reference field="4294967294" count="1" selected="0">
            <x v="0"/>
          </reference>
          <reference field="0" count="1" selected="0">
            <x v="1"/>
          </reference>
        </references>
      </pivotArea>
    </chartFormat>
    <chartFormat chart="50" format="6" series="1">
      <pivotArea type="data" outline="0" fieldPosition="0">
        <references count="1">
          <reference field="4294967294" count="1" selected="0">
            <x v="0"/>
          </reference>
        </references>
      </pivotArea>
    </chartFormat>
    <chartFormat chart="50" format="7">
      <pivotArea type="data" outline="0" fieldPosition="0">
        <references count="2">
          <reference field="4294967294" count="1" selected="0">
            <x v="0"/>
          </reference>
          <reference field="0" count="1" selected="0">
            <x v="0"/>
          </reference>
        </references>
      </pivotArea>
    </chartFormat>
    <chartFormat chart="50" format="8">
      <pivotArea type="data" outline="0" fieldPosition="0">
        <references count="2">
          <reference field="4294967294" count="1" selected="0">
            <x v="0"/>
          </reference>
          <reference field="0" count="1" selected="0">
            <x v="1"/>
          </reference>
        </references>
      </pivotArea>
    </chartFormat>
    <chartFormat chart="51" format="6" series="1">
      <pivotArea type="data" outline="0" fieldPosition="0">
        <references count="1">
          <reference field="4294967294" count="1" selected="0">
            <x v="0"/>
          </reference>
        </references>
      </pivotArea>
    </chartFormat>
    <chartFormat chart="51" format="7">
      <pivotArea type="data" outline="0" fieldPosition="0">
        <references count="2">
          <reference field="4294967294" count="1" selected="0">
            <x v="0"/>
          </reference>
          <reference field="0" count="1" selected="0">
            <x v="0"/>
          </reference>
        </references>
      </pivotArea>
    </chartFormat>
    <chartFormat chart="51" format="8">
      <pivotArea type="data" outline="0" fieldPosition="0">
        <references count="2">
          <reference field="4294967294" count="1" selected="0">
            <x v="0"/>
          </reference>
          <reference field="0" count="1" selected="0">
            <x v="1"/>
          </reference>
        </references>
      </pivotArea>
    </chartFormat>
  </chart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Patient_ID"/>
    <pivotHierarchy dragToData="1"/>
    <pivotHierarchy dragToData="1" caption="Average Wait_Time"/>
    <pivotHierarchy dragToData="1"/>
    <pivotHierarchy dragToData="1" caption="Average Satisfaction_Score"/>
    <pivotHierarchy dragToData="1"/>
    <pivotHierarchy dragToData="1"/>
    <pivotHierarchy dragToData="1"/>
    <pivotHierarchy dragToData="1"/>
    <pivotHierarchy dragToData="1" caption="Count"/>
    <pivotHierarchy dragToData="1" caption="Patient"/>
    <pivotHierarchy dragToData="1" caption="Count"/>
    <pivotHierarchy dragToData="1"/>
    <pivotHierarchy dragToData="1" caption="Count"/>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6E950A-2C9C-46B8-9E48-5B75753F6433}" name="PivotTable11" cacheId="124" applyNumberFormats="0" applyBorderFormats="0" applyFontFormats="0" applyPatternFormats="0" applyAlignmentFormats="0" applyWidthHeightFormats="1" dataCaption="Values" tag="8154fd83-6ba1-49e8-984b-008378345f2b" updatedVersion="8" minRefreshableVersion="3" subtotalHiddenItems="1" itemPrintTitles="1" createdVersion="5" indent="0" outline="1" outlineData="1" multipleFieldFilters="0" chartFormat="47" rowHeaderCaption="Attend Time">
  <location ref="D29:E32"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fld="1" subtotal="count" showDataAs="percentOfTotal" baseField="0" baseItem="0" numFmtId="9"/>
  </dataFields>
  <formats count="2">
    <format dxfId="91">
      <pivotArea outline="0" fieldPosition="0">
        <references count="1">
          <reference field="4294967294" count="1">
            <x v="0"/>
          </reference>
        </references>
      </pivotArea>
    </format>
    <format dxfId="90">
      <pivotArea outline="0" collapsedLevelsAreSubtotals="1" fieldPosition="0"/>
    </format>
  </formats>
  <chartFormats count="3">
    <chartFormat chart="46" format="6" series="1">
      <pivotArea type="data" outline="0" fieldPosition="0">
        <references count="1">
          <reference field="4294967294" count="1" selected="0">
            <x v="0"/>
          </reference>
        </references>
      </pivotArea>
    </chartFormat>
    <chartFormat chart="46" format="7">
      <pivotArea type="data" outline="0" fieldPosition="0">
        <references count="2">
          <reference field="4294967294" count="1" selected="0">
            <x v="0"/>
          </reference>
          <reference field="0" count="1" selected="0">
            <x v="0"/>
          </reference>
        </references>
      </pivotArea>
    </chartFormat>
    <chartFormat chart="46" format="8">
      <pivotArea type="data" outline="0" fieldPosition="0">
        <references count="2">
          <reference field="4294967294" count="1" selected="0">
            <x v="0"/>
          </reference>
          <reference field="0" count="1" selected="0">
            <x v="1"/>
          </reference>
        </references>
      </pivotArea>
    </chartFormat>
  </chart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Patient_ID"/>
    <pivotHierarchy dragToData="1"/>
    <pivotHierarchy dragToData="1" caption="Average Wait_Time"/>
    <pivotHierarchy dragToData="1"/>
    <pivotHierarchy dragToData="1" caption="Average Satisfaction_Score"/>
    <pivotHierarchy dragToData="1"/>
    <pivotHierarchy dragToData="1"/>
    <pivotHierarchy dragToData="1"/>
    <pivotHierarchy dragToData="1"/>
    <pivotHierarchy dragToData="1" caption="Count"/>
    <pivotHierarchy dragToData="1" caption="Patient"/>
    <pivotHierarchy dragToData="1" caption="Coun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EF0A70-7465-43CE-A2BF-312C0E46D2EB}" name="PivotTable4" cacheId="133" applyNumberFormats="0" applyBorderFormats="0" applyFontFormats="0" applyPatternFormats="0" applyAlignmentFormats="0" applyWidthHeightFormats="1" dataCaption="Values" tag="8154fd83-6ba1-49e8-984b-008378345f2b" updatedVersion="8" minRefreshableVersion="3" subtotalHiddenItems="1" itemPrintTitles="1" createdVersion="5" indent="0" outline="1" outlineData="1" multipleFieldFilters="0" rowHeaderCaption="Dates">
  <location ref="A10:A13" firstHeaderRow="1" firstDataRow="1" firstDataCol="1"/>
  <pivotFields count="2">
    <pivotField axis="axisRow" allDrilled="1" subtotalTop="0" showAll="0" dataSourceSort="1" defaultSubtotal="0" defaultAttributeDrillState="1">
      <items count="1">
        <item x="0"/>
      </items>
    </pivotField>
    <pivotField axis="axisRow" allDrilled="1" subtotalTop="0" showAll="0" dataSourceSort="1" defaultSubtotal="0">
      <items count="2">
        <item x="0" e="0"/>
        <item x="1" e="0"/>
      </items>
    </pivotField>
  </pivotFields>
  <rowFields count="2">
    <field x="1"/>
    <field x="0"/>
  </rowFields>
  <rowItems count="3">
    <i>
      <x/>
    </i>
    <i>
      <x v="1"/>
    </i>
    <i t="grand">
      <x/>
    </i>
  </rowItems>
  <formats count="1">
    <format dxfId="92">
      <pivotArea outline="0" collapsedLevelsAreSubtotals="1" fieldPosition="0"/>
    </format>
  </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No. of Patients"/>
    <pivotHierarchy dragToData="1"/>
    <pivotHierarchy dragToData="1" caption="Average Wait_Time"/>
    <pivotHierarchy dragToData="1"/>
    <pivotHierarchy dragToData="1" caption="Average Satisfaction_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9CF236-79D6-4223-86AA-0F191E8EF634}" name="PivotTable2" cacheId="100" applyNumberFormats="0" applyBorderFormats="0" applyFontFormats="0" applyPatternFormats="0" applyAlignmentFormats="0" applyWidthHeightFormats="1" dataCaption="Values" tag="cd438f3e-13aa-497e-a2fe-afff4f4924be"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g Wait_Time" fld="0" subtotal="average" baseField="0" baseItem="0" numFmtId="2"/>
  </dataFields>
  <formats count="1">
    <format dxfId="93">
      <pivotArea outline="0" collapsedLevelsAreSubtotals="1" fieldPosition="0"/>
    </format>
  </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No. of Patients"/>
    <pivotHierarchy dragToData="1"/>
    <pivotHierarchy dragToData="1" caption="Avg Wait_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474C728-CF51-4C55-8D59-411F33608440}" name="PivotTable6" cacheId="112" applyNumberFormats="0" applyBorderFormats="0" applyFontFormats="0" applyPatternFormats="0" applyAlignmentFormats="0" applyWidthHeightFormats="1" dataCaption="Values" tag="8154fd83-6ba1-49e8-984b-008378345f2b" updatedVersion="8" minRefreshableVersion="3" subtotalHiddenItems="1" itemPrintTitles="1" createdVersion="5" indent="0" outline="1" outlineData="1" multipleFieldFilters="0" chartFormat="44" rowHeaderCaption="Dates">
  <location ref="R1:S246" firstHeaderRow="1" firstDataRow="1" firstDataCol="1"/>
  <pivotFields count="4">
    <pivotField axis="axisRow" allDrilled="1" subtotalTop="0" showAll="0" dataSourceSort="1" defaultSubtotal="0" defaultAttributeDrillState="1">
      <items count="2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t="grand">
      <x/>
    </i>
  </rowItems>
  <colItems count="1">
    <i/>
  </colItems>
  <dataFields count="1">
    <dataField name="Avg Satisfaction Score" fld="1" subtotal="average" baseField="0" baseItem="0"/>
  </dataFields>
  <formats count="1">
    <format dxfId="94">
      <pivotArea outline="0" collapsedLevelsAreSubtotals="1" fieldPosition="0"/>
    </format>
  </formats>
  <chartFormats count="4">
    <chartFormat chart="25"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No. of Patients"/>
    <pivotHierarchy dragToData="1"/>
    <pivotHierarchy dragToData="1" caption="Average of Wait_Time"/>
    <pivotHierarchy dragToData="1"/>
    <pivotHierarchy dragToData="1" caption="Avg Satisfaction 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3D2AF2-BEED-41BA-881F-C72926D334EC}" name="PivotTable8" cacheId="115" applyNumberFormats="0" applyBorderFormats="0" applyFontFormats="0" applyPatternFormats="0" applyAlignmentFormats="0" applyWidthHeightFormats="1" dataCaption="Values" tag="8154fd83-6ba1-49e8-984b-008378345f2b" updatedVersion="8" minRefreshableVersion="3" subtotalHiddenItems="1" itemPrintTitles="1" createdVersion="5" indent="0" outline="1" outlineData="1" multipleFieldFilters="0" chartFormat="59" rowHeaderCaption="Admission Status">
  <location ref="A15:B18"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Status %" fld="1" subtotal="count" showDataAs="percentOfTotal" baseField="0" baseItem="0" numFmtId="9"/>
  </dataFields>
  <formats count="2">
    <format dxfId="96">
      <pivotArea outline="0" fieldPosition="0">
        <references count="1">
          <reference field="4294967294" count="1">
            <x v="0"/>
          </reference>
        </references>
      </pivotArea>
    </format>
    <format dxfId="95">
      <pivotArea outline="0" collapsedLevelsAreSubtotals="1" fieldPosition="0"/>
    </format>
  </formats>
  <chartFormats count="6">
    <chartFormat chart="26" format="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1" format="8" series="1">
      <pivotArea type="data" outline="0" fieldPosition="0">
        <references count="1">
          <reference field="4294967294" count="1" selected="0">
            <x v="0"/>
          </reference>
        </references>
      </pivotArea>
    </chartFormat>
    <chartFormat chart="31" format="9">
      <pivotArea type="data" outline="0" fieldPosition="0">
        <references count="2">
          <reference field="4294967294" count="1" selected="0">
            <x v="0"/>
          </reference>
          <reference field="0" count="1" selected="0">
            <x v="0"/>
          </reference>
        </references>
      </pivotArea>
    </chartFormat>
    <chartFormat chart="31" format="10">
      <pivotArea type="data" outline="0" fieldPosition="0">
        <references count="2">
          <reference field="4294967294" count="1" selected="0">
            <x v="0"/>
          </reference>
          <reference field="0" count="1" selected="0">
            <x v="1"/>
          </reference>
        </references>
      </pivotArea>
    </chartFormat>
    <chartFormat chart="34" format="0"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Patient_ID"/>
    <pivotHierarchy dragToData="1"/>
    <pivotHierarchy dragToData="1" caption="Average Wait_Time"/>
    <pivotHierarchy dragToData="1"/>
    <pivotHierarchy dragToData="1" caption="Average Satisfaction_Score"/>
    <pivotHierarchy dragToData="1"/>
    <pivotHierarchy dragToData="1"/>
    <pivotHierarchy dragToData="1"/>
    <pivotHierarchy dragToData="1"/>
    <pivotHierarchy dragToData="1"/>
    <pivotHierarchy dragToData="1" caption="Status %"/>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70BB5AA-228B-45D5-8509-ED477A85F591}" name="PivotTable1" cacheId="97" applyNumberFormats="0" applyBorderFormats="0" applyFontFormats="0" applyPatternFormats="0" applyAlignmentFormats="0" applyWidthHeightFormats="1" dataCaption="Values" tag="bf9e93d7-1923-4a24-b214-1d9ba69f6a8a" updatedVersion="8" minRefreshableVersion="3" subtotalHiddenItems="1" itemPrintTitles="1" createdVersion="5" indent="0" outline="1" outlineData="1" multipleFieldFilters="0">
  <location ref="A1:A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No. of Patients" fld="0" subtotal="count" baseField="0" baseItem="0"/>
  </dataField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No. of Patien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C39D422-8E14-444A-B1B8-551429F5BE2D}" name="PivotTable7" cacheId="109" applyNumberFormats="0" applyBorderFormats="0" applyFontFormats="0" applyPatternFormats="0" applyAlignmentFormats="0" applyWidthHeightFormats="1" dataCaption="Values" tag="8154fd83-6ba1-49e8-984b-008378345f2b" updatedVersion="8" minRefreshableVersion="3" subtotalHiddenItems="1" itemPrintTitles="1" createdVersion="5" indent="0" outline="1" outlineData="1" multipleFieldFilters="0" chartFormat="25" rowHeaderCaption="Dates">
  <location ref="O1:P246" firstHeaderRow="1" firstDataRow="1" firstDataCol="1"/>
  <pivotFields count="4">
    <pivotField axis="axisRow" allDrilled="1" subtotalTop="0" showAll="0" dataSourceSort="1" defaultSubtotal="0" defaultAttributeDrillState="1">
      <items count="2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t="grand">
      <x/>
    </i>
  </rowItems>
  <colItems count="1">
    <i/>
  </colItems>
  <dataFields count="1">
    <dataField name="Avg Wait_Time" fld="1" subtotal="average" baseField="0" baseItem="0"/>
  </dataFields>
  <formats count="1">
    <format dxfId="97">
      <pivotArea outline="0" collapsedLevelsAreSubtotals="1" fieldPosition="0"/>
    </format>
  </formats>
  <chartFormats count="3">
    <chartFormat chart="16" format="0"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No. of Patients"/>
    <pivotHierarchy dragToData="1"/>
    <pivotHierarchy dragToData="1" caption="Avg Wait_Time"/>
    <pivotHierarchy dragToData="1"/>
    <pivotHierarchy dragToData="1" caption="Average Satisfaction_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23EA2F0-C3D5-481B-8E5A-A69534C075E6}" name="PivotTable9" cacheId="121" applyNumberFormats="0" applyBorderFormats="0" applyFontFormats="0" applyPatternFormats="0" applyAlignmentFormats="0" applyWidthHeightFormats="1" dataCaption="Values" tag="8154fd83-6ba1-49e8-984b-008378345f2b" updatedVersion="8" minRefreshableVersion="3" subtotalHiddenItems="1" itemPrintTitles="1" createdVersion="5" indent="0" outline="1" outlineData="1" multipleFieldFilters="0" chartFormat="41" rowHeaderCaption="Admission Status">
  <location ref="A29:B36" firstHeaderRow="1"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Count" fld="1" subtotal="count" baseField="0" baseItem="0"/>
  </dataFields>
  <formats count="1">
    <format dxfId="98">
      <pivotArea outline="0" collapsedLevelsAreSubtotals="1" fieldPosition="0"/>
    </format>
  </formats>
  <chartFormats count="4">
    <chartFormat chart="32"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Patient_ID"/>
    <pivotHierarchy dragToData="1"/>
    <pivotHierarchy dragToData="1" caption="Average Wait_Time"/>
    <pivotHierarchy dragToData="1"/>
    <pivotHierarchy dragToData="1" caption="Average Satisfaction_Score"/>
    <pivotHierarchy dragToData="1"/>
    <pivotHierarchy dragToData="1"/>
    <pivotHierarchy dragToData="1"/>
    <pivotHierarchy dragToData="1"/>
    <pivotHierarchy dragToData="1"/>
    <pivotHierarchy dragToData="1" caption="Patient"/>
    <pivotHierarchy dragToData="1" caption="Coun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E5F6AED-A754-418C-BE0C-00087658E594}" name="PivotTable3" cacheId="103" applyNumberFormats="0" applyBorderFormats="0" applyFontFormats="0" applyPatternFormats="0" applyAlignmentFormats="0" applyWidthHeightFormats="1" dataCaption="Values" tag="8154fd83-6ba1-49e8-984b-008378345f2b" updatedVersion="8" minRefreshableVersion="3" subtotalHiddenItems="1"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g Satisfaction Score" fld="0" subtotal="average" baseField="0" baseItem="0"/>
  </dataFields>
  <formats count="1">
    <format dxfId="99">
      <pivotArea outline="0" collapsedLevelsAreSubtotals="1" fieldPosition="0"/>
    </format>
  </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No. of Patients"/>
    <pivotHierarchy dragToData="1"/>
    <pivotHierarchy dragToData="1" caption="Average Wait_Time"/>
    <pivotHierarchy dragToData="1"/>
    <pivotHierarchy dragToData="1" caption="Avg Satisfaction 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7E81155-CAB0-4830-9CC3-854D80C6439F}" name="PivotTable5" cacheId="106" applyNumberFormats="0" applyBorderFormats="0" applyFontFormats="0" applyPatternFormats="0" applyAlignmentFormats="0" applyWidthHeightFormats="1" dataCaption="Values" tag="8154fd83-6ba1-49e8-984b-008378345f2b" updatedVersion="8" minRefreshableVersion="3" subtotalHiddenItems="1" itemPrintTitles="1" createdVersion="5" indent="0" outline="1" outlineData="1" multipleFieldFilters="0" chartFormat="16" rowHeaderCaption="Dates">
  <location ref="L1:M246" firstHeaderRow="1" firstDataRow="1" firstDataCol="1"/>
  <pivotFields count="4">
    <pivotField axis="axisRow" allDrilled="1" subtotalTop="0" showAll="0" dataSourceSort="1" defaultSubtotal="0" defaultAttributeDrillState="1">
      <items count="2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t="grand">
      <x/>
    </i>
  </rowItems>
  <colItems count="1">
    <i/>
  </colItems>
  <dataFields count="1">
    <dataField name="Count Patient_ID" fld="1" subtotal="count" baseField="0" baseItem="0"/>
  </dataFields>
  <formats count="1">
    <format dxfId="100">
      <pivotArea outline="0" collapsedLevelsAreSubtotals="1" fieldPosition="0"/>
    </format>
  </formats>
  <chartFormats count="3">
    <chartFormat chart="9"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Patient_ID"/>
    <pivotHierarchy dragToData="1"/>
    <pivotHierarchy dragToData="1" caption="Average Wait_Time"/>
    <pivotHierarchy dragToData="1"/>
    <pivotHierarchy dragToData="1" caption="Average Satisfaction_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33663DB-4F2D-4BAF-8E8B-BA4AA1C56D9C}" name="PivotTable10" cacheId="118" applyNumberFormats="0" applyBorderFormats="0" applyFontFormats="0" applyPatternFormats="0" applyAlignmentFormats="0" applyWidthHeightFormats="1" dataCaption="Values" tag="8154fd83-6ba1-49e8-984b-008378345f2b" updatedVersion="8" minRefreshableVersion="3" subtotalHiddenItems="1" itemPrintTitles="1" createdVersion="5" indent="0" outline="1" outlineData="1" multipleFieldFilters="0" chartFormat="32" rowHeaderCaption="Admission Status">
  <location ref="A20:C23" firstHeaderRow="0" firstDataRow="1" firstDataCol="1"/>
  <pivotFields count="5">
    <pivotField axis="axisRow" allDrilled="1" subtotalTop="0" showAll="0" defaultSubtotal="0" defaultAttributeDrillState="1">
      <items count="2">
        <item x="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Patient" fld="1" subtotal="count" baseField="0" baseItem="0">
      <extLst>
        <ext xmlns:x14="http://schemas.microsoft.com/office/spreadsheetml/2009/9/main" uri="{E15A36E0-9728-4e99-A89B-3F7291B0FE68}">
          <x14:dataField sourceField="1" uniqueName="[__Xl2].[Measures].[Count of Admission_Flag]"/>
        </ext>
      </extLst>
    </dataField>
    <dataField name="Status %" fld="4" subtotal="count" showDataAs="percentOfTotal" baseField="0" baseItem="0" numFmtId="9">
      <extLst>
        <ext xmlns:x14="http://schemas.microsoft.com/office/spreadsheetml/2009/9/main" uri="{E15A36E0-9728-4e99-A89B-3F7291B0FE68}">
          <x14:dataField sourceField="1"/>
        </ext>
      </extLst>
    </dataField>
  </dataFields>
  <formats count="3">
    <format dxfId="103">
      <pivotArea outline="0" collapsedLevelsAreSubtotals="1" fieldPosition="0"/>
    </format>
    <format dxfId="102">
      <pivotArea outline="0" fieldPosition="0">
        <references count="1">
          <reference field="4294967294" count="1">
            <x v="1"/>
          </reference>
        </references>
      </pivotArea>
    </format>
    <format dxfId="101">
      <pivotArea outline="0" collapsedLevelsAreSubtotals="1" fieldPosition="0">
        <references count="1">
          <reference field="4294967294" count="1" selected="0">
            <x v="1"/>
          </reference>
        </references>
      </pivotArea>
    </format>
  </formats>
  <chartFormats count="11">
    <chartFormat chart="20" format="1" series="1">
      <pivotArea type="data" outline="0" fieldPosition="0">
        <references count="1">
          <reference field="4294967294" count="1" selected="0">
            <x v="1"/>
          </reference>
        </references>
      </pivotArea>
    </chartFormat>
    <chartFormat chart="23" format="1" series="1">
      <pivotArea type="data" outline="0" fieldPosition="0">
        <references count="1">
          <reference field="4294967294" count="1" selected="0">
            <x v="1"/>
          </reference>
        </references>
      </pivotArea>
    </chartFormat>
    <chartFormat chart="24" format="0" series="1">
      <pivotArea type="data" outline="0" fieldPosition="0">
        <references count="1">
          <reference field="4294967294" count="1" selected="0">
            <x v="1"/>
          </reference>
        </references>
      </pivotArea>
    </chartFormat>
    <chartFormat chart="26" format="1" series="1">
      <pivotArea type="data" outline="0" fieldPosition="0">
        <references count="1">
          <reference field="4294967294" count="1" selected="0">
            <x v="1"/>
          </reference>
        </references>
      </pivotArea>
    </chartFormat>
    <chartFormat chart="27" format="2" series="1">
      <pivotArea type="data" outline="0" fieldPosition="0">
        <references count="1">
          <reference field="4294967294" count="1" selected="0">
            <x v="1"/>
          </reference>
        </references>
      </pivotArea>
    </chartFormat>
    <chartFormat chart="28" format="2" series="1">
      <pivotArea type="data" outline="0" fieldPosition="0">
        <references count="1">
          <reference field="4294967294" count="1" selected="0">
            <x v="1"/>
          </reference>
        </references>
      </pivotArea>
    </chartFormat>
    <chartFormat chart="28" format="3">
      <pivotArea type="data" outline="0" fieldPosition="0">
        <references count="2">
          <reference field="4294967294" count="1" selected="0">
            <x v="1"/>
          </reference>
          <reference field="0" count="1" selected="0">
            <x v="0"/>
          </reference>
        </references>
      </pivotArea>
    </chartFormat>
    <chartFormat chart="28" format="4">
      <pivotArea type="data" outline="0" fieldPosition="0">
        <references count="2">
          <reference field="4294967294" count="1" selected="0">
            <x v="1"/>
          </reference>
          <reference field="0" count="1" selected="0">
            <x v="1"/>
          </reference>
        </references>
      </pivotArea>
    </chartFormat>
    <chartFormat chart="31" format="8" series="1">
      <pivotArea type="data" outline="0" fieldPosition="0">
        <references count="1">
          <reference field="4294967294" count="1" selected="0">
            <x v="1"/>
          </reference>
        </references>
      </pivotArea>
    </chartFormat>
    <chartFormat chart="31" format="9">
      <pivotArea type="data" outline="0" fieldPosition="0">
        <references count="2">
          <reference field="4294967294" count="1" selected="0">
            <x v="1"/>
          </reference>
          <reference field="0" count="1" selected="0">
            <x v="1"/>
          </reference>
        </references>
      </pivotArea>
    </chartFormat>
    <chartFormat chart="31" format="10">
      <pivotArea type="data" outline="0" fieldPosition="0">
        <references count="2">
          <reference field="4294967294" count="1" selected="0">
            <x v="1"/>
          </reference>
          <reference field="0" count="1" selected="0">
            <x v="0"/>
          </reference>
        </references>
      </pivotArea>
    </chartFormat>
  </chartFormats>
  <pivotHierarchies count="3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Patient_ID"/>
    <pivotHierarchy dragToData="1"/>
    <pivotHierarchy dragToData="1" caption="Average Wait_Time"/>
    <pivotHierarchy dragToData="1"/>
    <pivotHierarchy dragToData="1" caption="Average Satisfaction_Score"/>
    <pivotHierarchy dragToData="1"/>
    <pivotHierarchy dragToData="1"/>
    <pivotHierarchy dragToData="1"/>
    <pivotHierarchy dragToData="1"/>
    <pivotHierarchy dragToData="1"/>
    <pivotHierarchy dragToData="1" caption="Patient"/>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CDEF8204-1543-4521-8F86-466C0FBEAD22}" sourceName="[Date].[Date (Year)]">
  <pivotTables>
    <pivotTable tabId="1" name="PivotTable4"/>
    <pivotTable tabId="1" name="PivotTable1"/>
    <pivotTable tabId="1" name="PivotTable2"/>
    <pivotTable tabId="1" name="PivotTable3"/>
    <pivotTable tabId="1" name="PivotTable5"/>
    <pivotTable tabId="1" name="PivotTable7"/>
    <pivotTable tabId="1" name="PivotTable6"/>
    <pivotTable tabId="1" name="PivotTable8"/>
    <pivotTable tabId="1" name="PivotTable10"/>
    <pivotTable tabId="1" name="PivotTable9"/>
    <pivotTable tabId="1" name="PivotTable11"/>
    <pivotTable tabId="1" name="PivotTable12"/>
    <pivotTable tabId="1" name="PivotTable13"/>
  </pivotTables>
  <data>
    <olap pivotCacheId="740343147">
      <levels count="2">
        <level uniqueName="[Date].[Date (Year)].[(All)]" sourceCaption="(All)" count="0"/>
        <level uniqueName="[Date].[Date (Year)].[Date (Year)]" sourceCaption="Date (Year)" count="2">
          <ranges>
            <range startItem="0">
              <i n="[Date].[Date (Year)].&amp;[2024]" c="2024"/>
              <i n="[Date].[Date (Year)].&amp;[2025]" c="2025"/>
            </range>
          </ranges>
        </level>
      </levels>
      <selections count="1">
        <selection n="[Date].[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E857FB46-4B6F-41A8-82A6-A4E69FFA2E4F}" sourceName="[Date].[Date (Month)]">
  <pivotTables>
    <pivotTable tabId="1" name="PivotTable4"/>
    <pivotTable tabId="1" name="PivotTable1"/>
    <pivotTable tabId="1" name="PivotTable2"/>
    <pivotTable tabId="1" name="PivotTable3"/>
    <pivotTable tabId="1" name="PivotTable5"/>
    <pivotTable tabId="1" name="PivotTable7"/>
    <pivotTable tabId="1" name="PivotTable6"/>
    <pivotTable tabId="1" name="PivotTable8"/>
    <pivotTable tabId="1" name="PivotTable10"/>
    <pivotTable tabId="1" name="PivotTable9"/>
    <pivotTable tabId="1" name="PivotTable11"/>
    <pivotTable tabId="1" name="PivotTable12"/>
    <pivotTable tabId="1" name="PivotTable13"/>
  </pivotTables>
  <data>
    <olap pivotCacheId="740343147">
      <levels count="2">
        <level uniqueName="[Date].[Date (Month)].[(All)]" sourceCaption="(All)" count="0"/>
        <level uniqueName="[Date].[Date (Month)].[Date (Month)]" sourceCaption="Date (Month)" count="12">
          <ranges>
            <range startItem="0">
              <i n="[Date].[Date (Month)].&amp;[Jan]" c="Jan"/>
              <i n="[Date].[Date (Month)].&amp;[Feb]" c="Feb"/>
              <i n="[Date].[Date (Month)].&amp;[Mar]" c="Mar"/>
              <i n="[Date].[Date (Month)].&amp;[Apr]" c="Apr"/>
              <i n="[Date].[Date (Month)].&amp;[May]" c="May"/>
              <i n="[Date].[Date (Month)].&amp;[Jun]" c="Jun"/>
              <i n="[Date].[Date (Month)].&amp;[Jul]" c="Jul"/>
              <i n="[Date].[Date (Month)].&amp;[Aug]" c="Aug"/>
              <i n="[Date].[Date (Month)].&amp;[Sep]" c="Sep"/>
              <i n="[Date].[Date (Month)].&amp;[Oct]" c="Oct"/>
              <i n="[Date].[Date (Month)].&amp;[Nov]" c="Nov"/>
              <i n="[Date].[Date (Month)].&amp;[Dec]" c="Dec"/>
            </range>
          </ranges>
        </level>
      </levels>
      <selections count="1">
        <selection n="[Date].[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13FF27EF-07E7-46B1-AAED-FF0F9091B5D6}" cache="Slicer_Date__Year" caption="Date (Year)" columnCount="2" showCaption="0" level="1" style="Slicer 1" rowHeight="273050"/>
  <slicer name="Date (Month)" xr10:uid="{E761BF69-8141-42B1-B079-EA12525536EF}" cache="Slicer_Date__Month" caption="Date (Month)" showCaption="0" level="1" style="Slicer 1" rowHeight="2730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98559-FDF4-491D-9CE6-ACF4122C33FA}">
  <dimension ref="A1:S246"/>
  <sheetViews>
    <sheetView topLeftCell="A14" zoomScale="110" zoomScaleNormal="110" workbookViewId="0">
      <selection activeCell="J19" sqref="J19"/>
    </sheetView>
  </sheetViews>
  <sheetFormatPr defaultRowHeight="15.6" x14ac:dyDescent="0.3"/>
  <cols>
    <col min="1" max="1" width="19.36328125" bestFit="1" customWidth="1"/>
    <col min="2" max="2" width="8.08984375" bestFit="1" customWidth="1"/>
    <col min="3" max="3" width="10.08984375" customWidth="1"/>
    <col min="4" max="4" width="10.453125" bestFit="1" customWidth="1"/>
    <col min="5" max="5" width="12.90625" bestFit="1" customWidth="1"/>
    <col min="6" max="6" width="10.08984375" bestFit="1" customWidth="1"/>
    <col min="7" max="7" width="10.453125" bestFit="1" customWidth="1"/>
    <col min="8" max="8" width="8.1796875" customWidth="1"/>
    <col min="9" max="9" width="15.36328125" customWidth="1"/>
    <col min="10" max="10" width="9.6328125" customWidth="1"/>
    <col min="11" max="11" width="10.08984375" bestFit="1" customWidth="1"/>
    <col min="12" max="12" width="10.453125" bestFit="1" customWidth="1"/>
    <col min="13" max="13" width="15" bestFit="1" customWidth="1"/>
    <col min="14" max="14" width="8.7265625" customWidth="1"/>
    <col min="15" max="15" width="10.453125" bestFit="1" customWidth="1"/>
    <col min="16" max="16" width="12.90625" bestFit="1" customWidth="1"/>
    <col min="17" max="17" width="8.7265625" customWidth="1"/>
    <col min="18" max="18" width="10.453125" bestFit="1" customWidth="1"/>
    <col min="19" max="19" width="19.36328125" bestFit="1" customWidth="1"/>
    <col min="20" max="62" width="15.1796875" bestFit="1" customWidth="1"/>
    <col min="63" max="64" width="10.36328125" bestFit="1" customWidth="1"/>
    <col min="65" max="2193" width="20.1796875" bestFit="1" customWidth="1"/>
    <col min="2194" max="2194" width="22.08984375" bestFit="1" customWidth="1"/>
    <col min="2195" max="2195" width="24.7265625" bestFit="1" customWidth="1"/>
    <col min="2196" max="2196" width="23.6328125" bestFit="1" customWidth="1"/>
  </cols>
  <sheetData>
    <row r="1" spans="1:19" x14ac:dyDescent="0.3">
      <c r="A1" t="s">
        <v>0</v>
      </c>
      <c r="B1" s="4" t="s">
        <v>5</v>
      </c>
      <c r="L1" s="2" t="s">
        <v>3</v>
      </c>
      <c r="M1" t="s">
        <v>8</v>
      </c>
      <c r="O1" s="2" t="s">
        <v>3</v>
      </c>
      <c r="P1" t="s">
        <v>6</v>
      </c>
      <c r="R1" s="2" t="s">
        <v>3</v>
      </c>
      <c r="S1" t="s">
        <v>7</v>
      </c>
    </row>
    <row r="2" spans="1:19" x14ac:dyDescent="0.3">
      <c r="A2" s="15">
        <v>300</v>
      </c>
      <c r="B2">
        <f>IF(ISBLANK(A2),0,A2)</f>
        <v>300</v>
      </c>
      <c r="L2" s="5">
        <v>45292</v>
      </c>
      <c r="M2" s="1">
        <v>1</v>
      </c>
      <c r="O2" s="5">
        <v>45292</v>
      </c>
      <c r="P2" s="1">
        <v>18</v>
      </c>
      <c r="R2" s="5">
        <v>45292</v>
      </c>
      <c r="S2" s="1">
        <v>9</v>
      </c>
    </row>
    <row r="3" spans="1:19" x14ac:dyDescent="0.3">
      <c r="L3" s="5">
        <v>45294</v>
      </c>
      <c r="M3" s="1">
        <v>1</v>
      </c>
      <c r="O3" s="5">
        <v>45294</v>
      </c>
      <c r="P3" s="1">
        <v>56</v>
      </c>
      <c r="R3" s="5">
        <v>45294</v>
      </c>
      <c r="S3" s="1">
        <v>7</v>
      </c>
    </row>
    <row r="4" spans="1:19" x14ac:dyDescent="0.3">
      <c r="A4" t="s">
        <v>6</v>
      </c>
      <c r="L4" s="5">
        <v>45299</v>
      </c>
      <c r="M4" s="1">
        <v>1</v>
      </c>
      <c r="O4" s="5">
        <v>45299</v>
      </c>
      <c r="P4" s="1">
        <v>14</v>
      </c>
      <c r="R4" s="5">
        <v>45299</v>
      </c>
      <c r="S4" s="1">
        <v>0</v>
      </c>
    </row>
    <row r="5" spans="1:19" x14ac:dyDescent="0.3">
      <c r="A5" s="1">
        <v>34.826666666666668</v>
      </c>
      <c r="B5" s="1">
        <f>IF(ISBLANK(A5),0,A5)</f>
        <v>34.826666666666668</v>
      </c>
      <c r="L5" s="5">
        <v>45304</v>
      </c>
      <c r="M5" s="1">
        <v>1</v>
      </c>
      <c r="O5" s="5">
        <v>45304</v>
      </c>
      <c r="P5" s="1">
        <v>34</v>
      </c>
      <c r="R5" s="5">
        <v>45304</v>
      </c>
      <c r="S5" s="1">
        <v>0</v>
      </c>
    </row>
    <row r="6" spans="1:19" x14ac:dyDescent="0.3">
      <c r="L6" s="5">
        <v>45306</v>
      </c>
      <c r="M6" s="1">
        <v>1</v>
      </c>
      <c r="O6" s="5">
        <v>45306</v>
      </c>
      <c r="P6" s="1">
        <v>45</v>
      </c>
      <c r="R6" s="5">
        <v>45306</v>
      </c>
      <c r="S6" s="1">
        <v>10</v>
      </c>
    </row>
    <row r="7" spans="1:19" x14ac:dyDescent="0.3">
      <c r="A7" t="s">
        <v>7</v>
      </c>
      <c r="L7" s="5">
        <v>45312</v>
      </c>
      <c r="M7" s="1">
        <v>1</v>
      </c>
      <c r="O7" s="5">
        <v>45312</v>
      </c>
      <c r="P7" s="1">
        <v>47</v>
      </c>
      <c r="R7" s="5">
        <v>45312</v>
      </c>
      <c r="S7" s="1">
        <v>0</v>
      </c>
    </row>
    <row r="8" spans="1:19" x14ac:dyDescent="0.3">
      <c r="A8" s="1">
        <v>4.7133333333333329</v>
      </c>
      <c r="B8" s="1">
        <f>IF(ISBLANK(A8),0,A8)</f>
        <v>4.7133333333333329</v>
      </c>
      <c r="L8" s="5">
        <v>45322</v>
      </c>
      <c r="M8" s="1">
        <v>1</v>
      </c>
      <c r="O8" s="5">
        <v>45322</v>
      </c>
      <c r="P8" s="1">
        <v>39</v>
      </c>
      <c r="R8" s="5">
        <v>45322</v>
      </c>
      <c r="S8" s="1">
        <v>5</v>
      </c>
    </row>
    <row r="9" spans="1:19" x14ac:dyDescent="0.3">
      <c r="L9" s="5">
        <v>45350</v>
      </c>
      <c r="M9" s="1">
        <v>1</v>
      </c>
      <c r="O9" s="5">
        <v>45350</v>
      </c>
      <c r="P9" s="1">
        <v>49</v>
      </c>
      <c r="R9" s="5">
        <v>45350</v>
      </c>
      <c r="S9" s="1">
        <v>10</v>
      </c>
    </row>
    <row r="10" spans="1:19" x14ac:dyDescent="0.3">
      <c r="A10" s="2" t="s">
        <v>3</v>
      </c>
      <c r="L10" s="5">
        <v>45354</v>
      </c>
      <c r="M10" s="1">
        <v>1</v>
      </c>
      <c r="O10" s="5">
        <v>45354</v>
      </c>
      <c r="P10" s="1">
        <v>17</v>
      </c>
      <c r="R10" s="5">
        <v>45354</v>
      </c>
      <c r="S10" s="1">
        <v>7</v>
      </c>
    </row>
    <row r="11" spans="1:19" x14ac:dyDescent="0.3">
      <c r="A11" s="3" t="s">
        <v>2</v>
      </c>
      <c r="L11" s="5">
        <v>45357</v>
      </c>
      <c r="M11" s="1">
        <v>1</v>
      </c>
      <c r="O11" s="5">
        <v>45357</v>
      </c>
      <c r="P11" s="1">
        <v>60</v>
      </c>
      <c r="R11" s="5">
        <v>45357</v>
      </c>
      <c r="S11" s="1">
        <v>1</v>
      </c>
    </row>
    <row r="12" spans="1:19" x14ac:dyDescent="0.3">
      <c r="A12" s="3" t="s">
        <v>4</v>
      </c>
      <c r="L12" s="5">
        <v>45359</v>
      </c>
      <c r="M12" s="1">
        <v>1</v>
      </c>
      <c r="O12" s="5">
        <v>45359</v>
      </c>
      <c r="P12" s="1">
        <v>14</v>
      </c>
      <c r="R12" s="5">
        <v>45359</v>
      </c>
      <c r="S12" s="1">
        <v>7</v>
      </c>
    </row>
    <row r="13" spans="1:19" x14ac:dyDescent="0.3">
      <c r="A13" s="3" t="s">
        <v>1</v>
      </c>
      <c r="L13" s="5">
        <v>45364</v>
      </c>
      <c r="M13" s="1">
        <v>1</v>
      </c>
      <c r="O13" s="5">
        <v>45364</v>
      </c>
      <c r="P13" s="1">
        <v>14</v>
      </c>
      <c r="R13" s="5">
        <v>45364</v>
      </c>
      <c r="S13" s="1">
        <v>10</v>
      </c>
    </row>
    <row r="14" spans="1:19" x14ac:dyDescent="0.3">
      <c r="L14" s="5">
        <v>45365</v>
      </c>
      <c r="M14" s="1">
        <v>1</v>
      </c>
      <c r="O14" s="5">
        <v>45365</v>
      </c>
      <c r="P14" s="1">
        <v>27</v>
      </c>
      <c r="R14" s="5">
        <v>45365</v>
      </c>
      <c r="S14" s="1">
        <v>7</v>
      </c>
    </row>
    <row r="15" spans="1:19" x14ac:dyDescent="0.3">
      <c r="A15" s="2" t="s">
        <v>12</v>
      </c>
      <c r="B15" t="s">
        <v>11</v>
      </c>
      <c r="L15" s="5">
        <v>45368</v>
      </c>
      <c r="M15" s="1">
        <v>1</v>
      </c>
      <c r="O15" s="5">
        <v>45368</v>
      </c>
      <c r="P15" s="1">
        <v>30</v>
      </c>
      <c r="R15" s="5">
        <v>45368</v>
      </c>
      <c r="S15" s="1">
        <v>5</v>
      </c>
    </row>
    <row r="16" spans="1:19" x14ac:dyDescent="0.3">
      <c r="A16" s="3" t="s">
        <v>9</v>
      </c>
      <c r="B16" s="13">
        <v>0.52</v>
      </c>
      <c r="L16" s="5">
        <v>45370</v>
      </c>
      <c r="M16" s="1">
        <v>1</v>
      </c>
      <c r="O16" s="5">
        <v>45370</v>
      </c>
      <c r="P16" s="1">
        <v>42</v>
      </c>
      <c r="R16" s="5">
        <v>45370</v>
      </c>
      <c r="S16" s="1">
        <v>7</v>
      </c>
    </row>
    <row r="17" spans="1:19" x14ac:dyDescent="0.3">
      <c r="A17" s="3" t="s">
        <v>10</v>
      </c>
      <c r="B17" s="13">
        <v>0.48</v>
      </c>
      <c r="L17" s="5">
        <v>45372</v>
      </c>
      <c r="M17" s="1">
        <v>1</v>
      </c>
      <c r="O17" s="5">
        <v>45372</v>
      </c>
      <c r="P17" s="1">
        <v>26</v>
      </c>
      <c r="R17" s="5">
        <v>45372</v>
      </c>
      <c r="S17" s="1">
        <v>8</v>
      </c>
    </row>
    <row r="18" spans="1:19" x14ac:dyDescent="0.3">
      <c r="A18" s="3" t="s">
        <v>1</v>
      </c>
      <c r="B18" s="13">
        <v>1</v>
      </c>
      <c r="I18" s="16" t="s">
        <v>41</v>
      </c>
      <c r="J18" s="15" t="s">
        <v>20</v>
      </c>
      <c r="L18" s="5">
        <v>45373</v>
      </c>
      <c r="M18" s="1">
        <v>1</v>
      </c>
      <c r="O18" s="5">
        <v>45373</v>
      </c>
      <c r="P18" s="1">
        <v>43</v>
      </c>
      <c r="R18" s="5">
        <v>45373</v>
      </c>
      <c r="S18" s="1">
        <v>10</v>
      </c>
    </row>
    <row r="19" spans="1:19" x14ac:dyDescent="0.3">
      <c r="I19" s="17" t="s">
        <v>32</v>
      </c>
      <c r="J19" s="15">
        <v>10</v>
      </c>
      <c r="L19" s="5">
        <v>45375</v>
      </c>
      <c r="M19" s="1">
        <v>1</v>
      </c>
      <c r="O19" s="5">
        <v>45375</v>
      </c>
      <c r="P19" s="1">
        <v>19</v>
      </c>
      <c r="R19" s="5">
        <v>45375</v>
      </c>
      <c r="S19" s="1">
        <v>0</v>
      </c>
    </row>
    <row r="20" spans="1:19" x14ac:dyDescent="0.3">
      <c r="A20" s="2" t="s">
        <v>12</v>
      </c>
      <c r="B20" t="s">
        <v>13</v>
      </c>
      <c r="C20" t="s">
        <v>11</v>
      </c>
      <c r="I20" s="17" t="s">
        <v>40</v>
      </c>
      <c r="J20" s="15">
        <v>13</v>
      </c>
      <c r="L20" s="5">
        <v>45376</v>
      </c>
      <c r="M20" s="1">
        <v>1</v>
      </c>
      <c r="O20" s="5">
        <v>45376</v>
      </c>
      <c r="P20" s="1">
        <v>11</v>
      </c>
      <c r="R20" s="5">
        <v>45376</v>
      </c>
      <c r="S20" s="1">
        <v>1</v>
      </c>
    </row>
    <row r="21" spans="1:19" x14ac:dyDescent="0.3">
      <c r="A21" s="3" t="s">
        <v>10</v>
      </c>
      <c r="B21" s="1">
        <v>144</v>
      </c>
      <c r="C21" s="13">
        <v>0.48</v>
      </c>
      <c r="I21" s="17" t="s">
        <v>35</v>
      </c>
      <c r="J21" s="15">
        <v>14</v>
      </c>
      <c r="L21" s="5">
        <v>45377</v>
      </c>
      <c r="M21" s="1">
        <v>1</v>
      </c>
      <c r="O21" s="5">
        <v>45377</v>
      </c>
      <c r="P21" s="1">
        <v>20</v>
      </c>
      <c r="R21" s="5">
        <v>45377</v>
      </c>
      <c r="S21" s="1">
        <v>7</v>
      </c>
    </row>
    <row r="22" spans="1:19" x14ac:dyDescent="0.3">
      <c r="A22" s="3" t="s">
        <v>9</v>
      </c>
      <c r="B22" s="1">
        <v>156</v>
      </c>
      <c r="C22" s="13">
        <v>0.52</v>
      </c>
      <c r="I22" s="17" t="s">
        <v>39</v>
      </c>
      <c r="J22" s="15">
        <v>16</v>
      </c>
      <c r="L22" s="5">
        <v>45378</v>
      </c>
      <c r="M22" s="1">
        <v>1</v>
      </c>
      <c r="O22" s="5">
        <v>45378</v>
      </c>
      <c r="P22" s="1">
        <v>41</v>
      </c>
      <c r="R22" s="5">
        <v>45378</v>
      </c>
      <c r="S22" s="1">
        <v>8</v>
      </c>
    </row>
    <row r="23" spans="1:19" x14ac:dyDescent="0.3">
      <c r="A23" s="3" t="s">
        <v>1</v>
      </c>
      <c r="B23" s="1">
        <v>300</v>
      </c>
      <c r="C23" s="13">
        <v>1</v>
      </c>
      <c r="I23" s="17" t="s">
        <v>31</v>
      </c>
      <c r="J23" s="15">
        <v>18</v>
      </c>
      <c r="L23" s="5">
        <v>45379</v>
      </c>
      <c r="M23" s="1">
        <v>1</v>
      </c>
      <c r="O23" s="5">
        <v>45379</v>
      </c>
      <c r="P23" s="1">
        <v>25</v>
      </c>
      <c r="R23" s="5">
        <v>45379</v>
      </c>
      <c r="S23" s="1">
        <v>2</v>
      </c>
    </row>
    <row r="24" spans="1:19" x14ac:dyDescent="0.3">
      <c r="I24" s="17" t="s">
        <v>28</v>
      </c>
      <c r="J24" s="15">
        <v>18</v>
      </c>
      <c r="L24" s="5">
        <v>45380</v>
      </c>
      <c r="M24" s="1">
        <v>1</v>
      </c>
      <c r="O24" s="5">
        <v>45380</v>
      </c>
      <c r="P24" s="1">
        <v>19</v>
      </c>
      <c r="R24" s="5">
        <v>45380</v>
      </c>
      <c r="S24" s="1">
        <v>4</v>
      </c>
    </row>
    <row r="25" spans="1:19" x14ac:dyDescent="0.3">
      <c r="A25" s="11" t="str">
        <f>A20</f>
        <v>Admission Status</v>
      </c>
      <c r="B25" s="7" t="str">
        <f>B20</f>
        <v>Patient</v>
      </c>
      <c r="C25" s="7" t="str">
        <f t="shared" ref="C25" si="0">C20</f>
        <v>Status %</v>
      </c>
      <c r="D25" s="8"/>
      <c r="E25" s="8"/>
      <c r="I25" s="17" t="s">
        <v>34</v>
      </c>
      <c r="J25" s="15">
        <v>19</v>
      </c>
      <c r="L25" s="5">
        <v>45382</v>
      </c>
      <c r="M25" s="1">
        <v>1</v>
      </c>
      <c r="O25" s="5">
        <v>45382</v>
      </c>
      <c r="P25" s="1">
        <v>50</v>
      </c>
      <c r="R25" s="5">
        <v>45382</v>
      </c>
      <c r="S25" s="1">
        <v>0</v>
      </c>
    </row>
    <row r="26" spans="1:19" x14ac:dyDescent="0.3">
      <c r="A26" s="12" t="str">
        <f t="shared" ref="A26:C27" si="1">A21</f>
        <v>Not Admitted</v>
      </c>
      <c r="B26" s="9">
        <f t="shared" si="1"/>
        <v>144</v>
      </c>
      <c r="C26" s="10">
        <f t="shared" si="1"/>
        <v>0.48</v>
      </c>
      <c r="D26" s="8"/>
      <c r="E26" s="8"/>
      <c r="I26" s="17" t="s">
        <v>38</v>
      </c>
      <c r="J26" s="15">
        <v>19</v>
      </c>
      <c r="L26" s="5">
        <v>45385</v>
      </c>
      <c r="M26" s="1">
        <v>1</v>
      </c>
      <c r="O26" s="5">
        <v>45385</v>
      </c>
      <c r="P26" s="1">
        <v>21</v>
      </c>
      <c r="R26" s="5">
        <v>45385</v>
      </c>
      <c r="S26" s="1">
        <v>2</v>
      </c>
    </row>
    <row r="27" spans="1:19" x14ac:dyDescent="0.3">
      <c r="A27" s="12" t="str">
        <f t="shared" si="1"/>
        <v>Admitted</v>
      </c>
      <c r="B27" s="9">
        <f t="shared" si="1"/>
        <v>156</v>
      </c>
      <c r="C27" s="10">
        <f t="shared" si="1"/>
        <v>0.52</v>
      </c>
      <c r="D27" s="8"/>
      <c r="E27" s="8"/>
      <c r="I27" s="17" t="s">
        <v>29</v>
      </c>
      <c r="J27" s="15">
        <v>20</v>
      </c>
      <c r="L27" s="5">
        <v>45386</v>
      </c>
      <c r="M27" s="1">
        <v>1</v>
      </c>
      <c r="O27" s="5">
        <v>45386</v>
      </c>
      <c r="P27" s="1">
        <v>24</v>
      </c>
      <c r="R27" s="5">
        <v>45386</v>
      </c>
      <c r="S27" s="1">
        <v>1</v>
      </c>
    </row>
    <row r="28" spans="1:19" x14ac:dyDescent="0.3">
      <c r="I28" s="17" t="s">
        <v>36</v>
      </c>
      <c r="J28" s="15">
        <v>21</v>
      </c>
      <c r="L28" s="5">
        <v>45395</v>
      </c>
      <c r="M28" s="1">
        <v>1</v>
      </c>
      <c r="O28" s="5">
        <v>45395</v>
      </c>
      <c r="P28" s="1">
        <v>52</v>
      </c>
      <c r="R28" s="5">
        <v>45395</v>
      </c>
      <c r="S28" s="1">
        <v>9</v>
      </c>
    </row>
    <row r="29" spans="1:19" x14ac:dyDescent="0.3">
      <c r="A29" s="2" t="s">
        <v>12</v>
      </c>
      <c r="B29" t="s">
        <v>20</v>
      </c>
      <c r="D29" s="2" t="s">
        <v>23</v>
      </c>
      <c r="E29" t="s">
        <v>20</v>
      </c>
      <c r="I29" s="17" t="s">
        <v>27</v>
      </c>
      <c r="J29" s="15">
        <v>21</v>
      </c>
      <c r="L29" s="5">
        <v>45405</v>
      </c>
      <c r="M29" s="1">
        <v>1</v>
      </c>
      <c r="O29" s="5">
        <v>45405</v>
      </c>
      <c r="P29" s="1">
        <v>30</v>
      </c>
      <c r="R29" s="5">
        <v>45405</v>
      </c>
      <c r="S29" s="1">
        <v>1</v>
      </c>
    </row>
    <row r="30" spans="1:19" x14ac:dyDescent="0.3">
      <c r="A30" s="3" t="s">
        <v>14</v>
      </c>
      <c r="B30" s="1">
        <v>30</v>
      </c>
      <c r="D30" s="3" t="s">
        <v>21</v>
      </c>
      <c r="E30" s="13">
        <v>0.56000000000000005</v>
      </c>
      <c r="I30" s="17" t="s">
        <v>30</v>
      </c>
      <c r="J30" s="15">
        <v>21</v>
      </c>
      <c r="L30" s="5">
        <v>45407</v>
      </c>
      <c r="M30" s="1">
        <v>1</v>
      </c>
      <c r="O30" s="5">
        <v>45407</v>
      </c>
      <c r="P30" s="1">
        <v>27</v>
      </c>
      <c r="R30" s="5">
        <v>45407</v>
      </c>
      <c r="S30" s="1">
        <v>2</v>
      </c>
    </row>
    <row r="31" spans="1:19" x14ac:dyDescent="0.3">
      <c r="A31" s="3" t="s">
        <v>15</v>
      </c>
      <c r="B31" s="1">
        <v>50</v>
      </c>
      <c r="D31" s="3" t="s">
        <v>22</v>
      </c>
      <c r="E31" s="13">
        <v>0.44</v>
      </c>
      <c r="I31" s="17" t="s">
        <v>37</v>
      </c>
      <c r="J31" s="15">
        <v>24</v>
      </c>
      <c r="L31" s="5">
        <v>45409</v>
      </c>
      <c r="M31" s="1">
        <v>1</v>
      </c>
      <c r="O31" s="5">
        <v>45409</v>
      </c>
      <c r="P31" s="1">
        <v>18</v>
      </c>
      <c r="R31" s="5">
        <v>45409</v>
      </c>
      <c r="S31" s="1">
        <v>1</v>
      </c>
    </row>
    <row r="32" spans="1:19" x14ac:dyDescent="0.3">
      <c r="A32" s="3" t="s">
        <v>16</v>
      </c>
      <c r="B32" s="1">
        <v>53</v>
      </c>
      <c r="D32" s="3" t="s">
        <v>1</v>
      </c>
      <c r="E32" s="13">
        <v>1</v>
      </c>
      <c r="I32" s="17" t="s">
        <v>33</v>
      </c>
      <c r="J32" s="15">
        <v>25</v>
      </c>
      <c r="L32" s="5">
        <v>45415</v>
      </c>
      <c r="M32" s="1">
        <v>1</v>
      </c>
      <c r="O32" s="5">
        <v>45415</v>
      </c>
      <c r="P32" s="1">
        <v>30</v>
      </c>
      <c r="R32" s="5">
        <v>45415</v>
      </c>
      <c r="S32" s="1">
        <v>6</v>
      </c>
    </row>
    <row r="33" spans="1:19" x14ac:dyDescent="0.3">
      <c r="A33" s="3" t="s">
        <v>17</v>
      </c>
      <c r="B33" s="1">
        <v>70</v>
      </c>
      <c r="I33" s="17" t="s">
        <v>42</v>
      </c>
      <c r="J33" s="15">
        <v>41</v>
      </c>
      <c r="L33" s="5">
        <v>45420</v>
      </c>
      <c r="M33" s="1">
        <v>1</v>
      </c>
      <c r="O33" s="5">
        <v>45420</v>
      </c>
      <c r="P33" s="1">
        <v>59</v>
      </c>
      <c r="R33" s="5">
        <v>45420</v>
      </c>
      <c r="S33" s="1">
        <v>0</v>
      </c>
    </row>
    <row r="34" spans="1:19" x14ac:dyDescent="0.3">
      <c r="A34" s="3" t="s">
        <v>18</v>
      </c>
      <c r="B34" s="1">
        <v>73</v>
      </c>
      <c r="D34" s="16" t="s">
        <v>24</v>
      </c>
      <c r="E34" s="15" t="s">
        <v>20</v>
      </c>
      <c r="I34" s="17" t="s">
        <v>1</v>
      </c>
      <c r="J34" s="15">
        <v>300</v>
      </c>
      <c r="L34" s="5">
        <v>45425</v>
      </c>
      <c r="M34" s="1">
        <v>1</v>
      </c>
      <c r="O34" s="5">
        <v>45425</v>
      </c>
      <c r="P34" s="1">
        <v>18</v>
      </c>
      <c r="R34" s="5">
        <v>45425</v>
      </c>
      <c r="S34" s="1">
        <v>8</v>
      </c>
    </row>
    <row r="35" spans="1:19" x14ac:dyDescent="0.3">
      <c r="A35" s="3" t="s">
        <v>19</v>
      </c>
      <c r="B35" s="1">
        <v>24</v>
      </c>
      <c r="D35" s="17" t="s">
        <v>25</v>
      </c>
      <c r="E35" s="15">
        <v>122</v>
      </c>
      <c r="L35" s="5">
        <v>45426</v>
      </c>
      <c r="M35" s="1">
        <v>1</v>
      </c>
      <c r="O35" s="5">
        <v>45426</v>
      </c>
      <c r="P35" s="1">
        <v>45</v>
      </c>
      <c r="R35" s="5">
        <v>45426</v>
      </c>
      <c r="S35" s="1">
        <v>9</v>
      </c>
    </row>
    <row r="36" spans="1:19" x14ac:dyDescent="0.3">
      <c r="A36" s="3" t="s">
        <v>1</v>
      </c>
      <c r="B36" s="1">
        <v>300</v>
      </c>
      <c r="D36" s="17" t="s">
        <v>26</v>
      </c>
      <c r="E36" s="15">
        <v>178</v>
      </c>
      <c r="L36" s="5">
        <v>45429</v>
      </c>
      <c r="M36" s="1">
        <v>1</v>
      </c>
      <c r="O36" s="5">
        <v>45429</v>
      </c>
      <c r="P36" s="1">
        <v>49</v>
      </c>
      <c r="R36" s="5">
        <v>45429</v>
      </c>
      <c r="S36" s="1">
        <v>0</v>
      </c>
    </row>
    <row r="37" spans="1:19" x14ac:dyDescent="0.3">
      <c r="D37" s="17" t="s">
        <v>1</v>
      </c>
      <c r="E37" s="15">
        <v>300</v>
      </c>
      <c r="L37" s="5">
        <v>45431</v>
      </c>
      <c r="M37" s="1">
        <v>1</v>
      </c>
      <c r="O37" s="5">
        <v>45431</v>
      </c>
      <c r="P37" s="1">
        <v>41</v>
      </c>
      <c r="R37" s="5">
        <v>45431</v>
      </c>
      <c r="S37" s="1">
        <v>6</v>
      </c>
    </row>
    <row r="38" spans="1:19" x14ac:dyDescent="0.3">
      <c r="L38" s="5">
        <v>45433</v>
      </c>
      <c r="M38" s="1">
        <v>1</v>
      </c>
      <c r="O38" s="5">
        <v>45433</v>
      </c>
      <c r="P38" s="1">
        <v>12</v>
      </c>
      <c r="R38" s="5">
        <v>45433</v>
      </c>
      <c r="S38" s="1">
        <v>3</v>
      </c>
    </row>
    <row r="39" spans="1:19" x14ac:dyDescent="0.3">
      <c r="L39" s="5">
        <v>45436</v>
      </c>
      <c r="M39" s="1">
        <v>1</v>
      </c>
      <c r="O39" s="5">
        <v>45436</v>
      </c>
      <c r="P39" s="1">
        <v>43</v>
      </c>
      <c r="R39" s="5">
        <v>45436</v>
      </c>
      <c r="S39" s="1">
        <v>4</v>
      </c>
    </row>
    <row r="40" spans="1:19" x14ac:dyDescent="0.3">
      <c r="L40" s="5">
        <v>45437</v>
      </c>
      <c r="M40" s="1">
        <v>1</v>
      </c>
      <c r="O40" s="5">
        <v>45437</v>
      </c>
      <c r="P40" s="1">
        <v>11</v>
      </c>
      <c r="R40" s="5">
        <v>45437</v>
      </c>
      <c r="S40" s="1">
        <v>1</v>
      </c>
    </row>
    <row r="41" spans="1:19" x14ac:dyDescent="0.3">
      <c r="L41" s="5">
        <v>45438</v>
      </c>
      <c r="M41" s="1">
        <v>2</v>
      </c>
      <c r="O41" s="5">
        <v>45438</v>
      </c>
      <c r="P41" s="1">
        <v>33.5</v>
      </c>
      <c r="R41" s="5">
        <v>45438</v>
      </c>
      <c r="S41" s="1">
        <v>7</v>
      </c>
    </row>
    <row r="42" spans="1:19" x14ac:dyDescent="0.3">
      <c r="L42" s="5">
        <v>45439</v>
      </c>
      <c r="M42" s="1">
        <v>1</v>
      </c>
      <c r="O42" s="5">
        <v>45439</v>
      </c>
      <c r="P42" s="1">
        <v>30</v>
      </c>
      <c r="R42" s="5">
        <v>45439</v>
      </c>
      <c r="S42" s="1">
        <v>7</v>
      </c>
    </row>
    <row r="43" spans="1:19" x14ac:dyDescent="0.3">
      <c r="L43" s="5">
        <v>45440</v>
      </c>
      <c r="M43" s="1">
        <v>1</v>
      </c>
      <c r="O43" s="5">
        <v>45440</v>
      </c>
      <c r="P43" s="1">
        <v>34</v>
      </c>
      <c r="R43" s="5">
        <v>45440</v>
      </c>
      <c r="S43" s="1">
        <v>4</v>
      </c>
    </row>
    <row r="44" spans="1:19" x14ac:dyDescent="0.3">
      <c r="L44" s="5">
        <v>45441</v>
      </c>
      <c r="M44" s="1">
        <v>1</v>
      </c>
      <c r="O44" s="5">
        <v>45441</v>
      </c>
      <c r="P44" s="1">
        <v>21</v>
      </c>
      <c r="R44" s="5">
        <v>45441</v>
      </c>
      <c r="S44" s="1">
        <v>10</v>
      </c>
    </row>
    <row r="45" spans="1:19" x14ac:dyDescent="0.3">
      <c r="L45" s="5">
        <v>45443</v>
      </c>
      <c r="M45" s="1">
        <v>1</v>
      </c>
      <c r="O45" s="5">
        <v>45443</v>
      </c>
      <c r="P45" s="1">
        <v>34</v>
      </c>
      <c r="R45" s="5">
        <v>45443</v>
      </c>
      <c r="S45" s="1">
        <v>8</v>
      </c>
    </row>
    <row r="46" spans="1:19" x14ac:dyDescent="0.3">
      <c r="L46" s="5">
        <v>45446</v>
      </c>
      <c r="M46" s="1">
        <v>1</v>
      </c>
      <c r="O46" s="5">
        <v>45446</v>
      </c>
      <c r="P46" s="1">
        <v>56</v>
      </c>
      <c r="R46" s="5">
        <v>45446</v>
      </c>
      <c r="S46" s="1">
        <v>8</v>
      </c>
    </row>
    <row r="47" spans="1:19" x14ac:dyDescent="0.3">
      <c r="L47" s="5">
        <v>45451</v>
      </c>
      <c r="M47" s="1">
        <v>1</v>
      </c>
      <c r="O47" s="5">
        <v>45451</v>
      </c>
      <c r="P47" s="1">
        <v>17</v>
      </c>
      <c r="R47" s="5">
        <v>45451</v>
      </c>
      <c r="S47" s="1">
        <v>0</v>
      </c>
    </row>
    <row r="48" spans="1:19" x14ac:dyDescent="0.3">
      <c r="L48" s="5">
        <v>45456</v>
      </c>
      <c r="M48" s="1">
        <v>2</v>
      </c>
      <c r="O48" s="5">
        <v>45456</v>
      </c>
      <c r="P48" s="1">
        <v>38.5</v>
      </c>
      <c r="R48" s="5">
        <v>45456</v>
      </c>
      <c r="S48" s="1">
        <v>2.5</v>
      </c>
    </row>
    <row r="49" spans="12:19" x14ac:dyDescent="0.3">
      <c r="L49" s="5">
        <v>45457</v>
      </c>
      <c r="M49" s="1">
        <v>1</v>
      </c>
      <c r="O49" s="5">
        <v>45457</v>
      </c>
      <c r="P49" s="1">
        <v>59</v>
      </c>
      <c r="R49" s="5">
        <v>45457</v>
      </c>
      <c r="S49" s="1">
        <v>0</v>
      </c>
    </row>
    <row r="50" spans="12:19" x14ac:dyDescent="0.3">
      <c r="L50" s="5">
        <v>45460</v>
      </c>
      <c r="M50" s="1">
        <v>1</v>
      </c>
      <c r="O50" s="5">
        <v>45460</v>
      </c>
      <c r="P50" s="1">
        <v>55</v>
      </c>
      <c r="R50" s="5">
        <v>45460</v>
      </c>
      <c r="S50" s="1">
        <v>10</v>
      </c>
    </row>
    <row r="51" spans="12:19" x14ac:dyDescent="0.3">
      <c r="L51" s="5">
        <v>45462</v>
      </c>
      <c r="M51" s="1">
        <v>2</v>
      </c>
      <c r="O51" s="5">
        <v>45462</v>
      </c>
      <c r="P51" s="1">
        <v>54.5</v>
      </c>
      <c r="R51" s="5">
        <v>45462</v>
      </c>
      <c r="S51" s="1">
        <v>0.5</v>
      </c>
    </row>
    <row r="52" spans="12:19" x14ac:dyDescent="0.3">
      <c r="L52" s="5">
        <v>45464</v>
      </c>
      <c r="M52" s="1">
        <v>1</v>
      </c>
      <c r="O52" s="5">
        <v>45464</v>
      </c>
      <c r="P52" s="1">
        <v>48</v>
      </c>
      <c r="R52" s="5">
        <v>45464</v>
      </c>
      <c r="S52" s="1">
        <v>2</v>
      </c>
    </row>
    <row r="53" spans="12:19" x14ac:dyDescent="0.3">
      <c r="L53" s="5">
        <v>45467</v>
      </c>
      <c r="M53" s="1">
        <v>1</v>
      </c>
      <c r="O53" s="5">
        <v>45467</v>
      </c>
      <c r="P53" s="1">
        <v>25</v>
      </c>
      <c r="R53" s="5">
        <v>45467</v>
      </c>
      <c r="S53" s="1">
        <v>4</v>
      </c>
    </row>
    <row r="54" spans="12:19" x14ac:dyDescent="0.3">
      <c r="L54" s="5">
        <v>45468</v>
      </c>
      <c r="M54" s="1">
        <v>1</v>
      </c>
      <c r="O54" s="5">
        <v>45468</v>
      </c>
      <c r="P54" s="1">
        <v>37</v>
      </c>
      <c r="R54" s="5">
        <v>45468</v>
      </c>
      <c r="S54" s="1">
        <v>5</v>
      </c>
    </row>
    <row r="55" spans="12:19" x14ac:dyDescent="0.3">
      <c r="L55" s="5">
        <v>45469</v>
      </c>
      <c r="M55" s="1">
        <v>1</v>
      </c>
      <c r="O55" s="5">
        <v>45469</v>
      </c>
      <c r="P55" s="1">
        <v>28</v>
      </c>
      <c r="R55" s="5">
        <v>45469</v>
      </c>
      <c r="S55" s="1">
        <v>0</v>
      </c>
    </row>
    <row r="56" spans="12:19" x14ac:dyDescent="0.3">
      <c r="L56" s="5">
        <v>45470</v>
      </c>
      <c r="M56" s="1">
        <v>2</v>
      </c>
      <c r="O56" s="5">
        <v>45470</v>
      </c>
      <c r="P56" s="1">
        <v>43</v>
      </c>
      <c r="R56" s="5">
        <v>45470</v>
      </c>
      <c r="S56" s="1">
        <v>0.5</v>
      </c>
    </row>
    <row r="57" spans="12:19" x14ac:dyDescent="0.3">
      <c r="L57" s="5">
        <v>45471</v>
      </c>
      <c r="M57" s="1">
        <v>1</v>
      </c>
      <c r="O57" s="5">
        <v>45471</v>
      </c>
      <c r="P57" s="1">
        <v>32</v>
      </c>
      <c r="R57" s="5">
        <v>45471</v>
      </c>
      <c r="S57" s="1">
        <v>5</v>
      </c>
    </row>
    <row r="58" spans="12:19" x14ac:dyDescent="0.3">
      <c r="L58" s="5">
        <v>45472</v>
      </c>
      <c r="M58" s="1">
        <v>1</v>
      </c>
      <c r="O58" s="5">
        <v>45472</v>
      </c>
      <c r="P58" s="1">
        <v>42</v>
      </c>
      <c r="R58" s="5">
        <v>45472</v>
      </c>
      <c r="S58" s="1">
        <v>1</v>
      </c>
    </row>
    <row r="59" spans="12:19" x14ac:dyDescent="0.3">
      <c r="L59" s="5">
        <v>45490</v>
      </c>
      <c r="M59" s="1">
        <v>1</v>
      </c>
      <c r="O59" s="5">
        <v>45490</v>
      </c>
      <c r="P59" s="1">
        <v>36</v>
      </c>
      <c r="R59" s="5">
        <v>45490</v>
      </c>
      <c r="S59" s="1">
        <v>10</v>
      </c>
    </row>
    <row r="60" spans="12:19" x14ac:dyDescent="0.3">
      <c r="L60" s="5">
        <v>45492</v>
      </c>
      <c r="M60" s="1">
        <v>1</v>
      </c>
      <c r="O60" s="5">
        <v>45492</v>
      </c>
      <c r="P60" s="1">
        <v>51</v>
      </c>
      <c r="R60" s="5">
        <v>45492</v>
      </c>
      <c r="S60" s="1">
        <v>1</v>
      </c>
    </row>
    <row r="61" spans="12:19" x14ac:dyDescent="0.3">
      <c r="L61" s="5">
        <v>45499</v>
      </c>
      <c r="M61" s="1">
        <v>2</v>
      </c>
      <c r="O61" s="5">
        <v>45499</v>
      </c>
      <c r="P61" s="1">
        <v>56</v>
      </c>
      <c r="R61" s="5">
        <v>45499</v>
      </c>
      <c r="S61" s="1">
        <v>6</v>
      </c>
    </row>
    <row r="62" spans="12:19" x14ac:dyDescent="0.3">
      <c r="L62" s="5">
        <v>45502</v>
      </c>
      <c r="M62" s="1">
        <v>1</v>
      </c>
      <c r="O62" s="5">
        <v>45502</v>
      </c>
      <c r="P62" s="1">
        <v>29</v>
      </c>
      <c r="R62" s="5">
        <v>45502</v>
      </c>
      <c r="S62" s="1">
        <v>2</v>
      </c>
    </row>
    <row r="63" spans="12:19" x14ac:dyDescent="0.3">
      <c r="L63" s="5">
        <v>45507</v>
      </c>
      <c r="M63" s="1">
        <v>1</v>
      </c>
      <c r="O63" s="5">
        <v>45507</v>
      </c>
      <c r="P63" s="1">
        <v>54</v>
      </c>
      <c r="R63" s="5">
        <v>45507</v>
      </c>
      <c r="S63" s="1">
        <v>4</v>
      </c>
    </row>
    <row r="64" spans="12:19" x14ac:dyDescent="0.3">
      <c r="L64" s="5">
        <v>45511</v>
      </c>
      <c r="M64" s="1">
        <v>1</v>
      </c>
      <c r="O64" s="5">
        <v>45511</v>
      </c>
      <c r="P64" s="1">
        <v>44</v>
      </c>
      <c r="R64" s="5">
        <v>45511</v>
      </c>
      <c r="S64" s="1">
        <v>5</v>
      </c>
    </row>
    <row r="65" spans="12:19" x14ac:dyDescent="0.3">
      <c r="L65" s="5">
        <v>45512</v>
      </c>
      <c r="M65" s="1">
        <v>2</v>
      </c>
      <c r="O65" s="5">
        <v>45512</v>
      </c>
      <c r="P65" s="1">
        <v>32</v>
      </c>
      <c r="R65" s="5">
        <v>45512</v>
      </c>
      <c r="S65" s="1">
        <v>5.5</v>
      </c>
    </row>
    <row r="66" spans="12:19" x14ac:dyDescent="0.3">
      <c r="L66" s="5">
        <v>45517</v>
      </c>
      <c r="M66" s="1">
        <v>1</v>
      </c>
      <c r="O66" s="5">
        <v>45517</v>
      </c>
      <c r="P66" s="1">
        <v>31</v>
      </c>
      <c r="R66" s="5">
        <v>45517</v>
      </c>
      <c r="S66" s="1">
        <v>2</v>
      </c>
    </row>
    <row r="67" spans="12:19" x14ac:dyDescent="0.3">
      <c r="L67" s="5">
        <v>45518</v>
      </c>
      <c r="M67" s="1">
        <v>2</v>
      </c>
      <c r="O67" s="5">
        <v>45518</v>
      </c>
      <c r="P67" s="1">
        <v>12</v>
      </c>
      <c r="R67" s="5">
        <v>45518</v>
      </c>
      <c r="S67" s="1">
        <v>7</v>
      </c>
    </row>
    <row r="68" spans="12:19" x14ac:dyDescent="0.3">
      <c r="L68" s="5">
        <v>45521</v>
      </c>
      <c r="M68" s="1">
        <v>2</v>
      </c>
      <c r="O68" s="5">
        <v>45521</v>
      </c>
      <c r="P68" s="1">
        <v>31</v>
      </c>
      <c r="R68" s="5">
        <v>45521</v>
      </c>
      <c r="S68" s="1">
        <v>7.5</v>
      </c>
    </row>
    <row r="69" spans="12:19" x14ac:dyDescent="0.3">
      <c r="L69" s="5">
        <v>45523</v>
      </c>
      <c r="M69" s="1">
        <v>2</v>
      </c>
      <c r="O69" s="5">
        <v>45523</v>
      </c>
      <c r="P69" s="1">
        <v>41</v>
      </c>
      <c r="R69" s="5">
        <v>45523</v>
      </c>
      <c r="S69" s="1">
        <v>5</v>
      </c>
    </row>
    <row r="70" spans="12:19" x14ac:dyDescent="0.3">
      <c r="L70" s="5">
        <v>45525</v>
      </c>
      <c r="M70" s="1">
        <v>1</v>
      </c>
      <c r="O70" s="5">
        <v>45525</v>
      </c>
      <c r="P70" s="1">
        <v>29</v>
      </c>
      <c r="R70" s="5">
        <v>45525</v>
      </c>
      <c r="S70" s="1">
        <v>9</v>
      </c>
    </row>
    <row r="71" spans="12:19" x14ac:dyDescent="0.3">
      <c r="L71" s="5">
        <v>45528</v>
      </c>
      <c r="M71" s="1">
        <v>1</v>
      </c>
      <c r="O71" s="5">
        <v>45528</v>
      </c>
      <c r="P71" s="1">
        <v>36</v>
      </c>
      <c r="R71" s="5">
        <v>45528</v>
      </c>
      <c r="S71" s="1">
        <v>0</v>
      </c>
    </row>
    <row r="72" spans="12:19" x14ac:dyDescent="0.3">
      <c r="L72" s="5">
        <v>45529</v>
      </c>
      <c r="M72" s="1">
        <v>1</v>
      </c>
      <c r="O72" s="5">
        <v>45529</v>
      </c>
      <c r="P72" s="1">
        <v>43</v>
      </c>
      <c r="R72" s="5">
        <v>45529</v>
      </c>
      <c r="S72" s="1">
        <v>9</v>
      </c>
    </row>
    <row r="73" spans="12:19" x14ac:dyDescent="0.3">
      <c r="L73" s="5">
        <v>45530</v>
      </c>
      <c r="M73" s="1">
        <v>1</v>
      </c>
      <c r="O73" s="5">
        <v>45530</v>
      </c>
      <c r="P73" s="1">
        <v>55</v>
      </c>
      <c r="R73" s="5">
        <v>45530</v>
      </c>
      <c r="S73" s="1">
        <v>3</v>
      </c>
    </row>
    <row r="74" spans="12:19" x14ac:dyDescent="0.3">
      <c r="L74" s="5">
        <v>45531</v>
      </c>
      <c r="M74" s="1">
        <v>1</v>
      </c>
      <c r="O74" s="5">
        <v>45531</v>
      </c>
      <c r="P74" s="1">
        <v>40</v>
      </c>
      <c r="R74" s="5">
        <v>45531</v>
      </c>
      <c r="S74" s="1">
        <v>2</v>
      </c>
    </row>
    <row r="75" spans="12:19" x14ac:dyDescent="0.3">
      <c r="L75" s="5">
        <v>45532</v>
      </c>
      <c r="M75" s="1">
        <v>1</v>
      </c>
      <c r="O75" s="5">
        <v>45532</v>
      </c>
      <c r="P75" s="1">
        <v>18</v>
      </c>
      <c r="R75" s="5">
        <v>45532</v>
      </c>
      <c r="S75" s="1">
        <v>0</v>
      </c>
    </row>
    <row r="76" spans="12:19" x14ac:dyDescent="0.3">
      <c r="L76" s="5">
        <v>45533</v>
      </c>
      <c r="M76" s="1">
        <v>2</v>
      </c>
      <c r="O76" s="5">
        <v>45533</v>
      </c>
      <c r="P76" s="1">
        <v>41.5</v>
      </c>
      <c r="R76" s="5">
        <v>45533</v>
      </c>
      <c r="S76" s="1">
        <v>8.5</v>
      </c>
    </row>
    <row r="77" spans="12:19" x14ac:dyDescent="0.3">
      <c r="L77" s="5">
        <v>45534</v>
      </c>
      <c r="M77" s="1">
        <v>1</v>
      </c>
      <c r="O77" s="5">
        <v>45534</v>
      </c>
      <c r="P77" s="1">
        <v>53</v>
      </c>
      <c r="R77" s="5">
        <v>45534</v>
      </c>
      <c r="S77" s="1">
        <v>4</v>
      </c>
    </row>
    <row r="78" spans="12:19" x14ac:dyDescent="0.3">
      <c r="L78" s="5">
        <v>45535</v>
      </c>
      <c r="M78" s="1">
        <v>2</v>
      </c>
      <c r="O78" s="5">
        <v>45535</v>
      </c>
      <c r="P78" s="1">
        <v>18</v>
      </c>
      <c r="R78" s="5">
        <v>45535</v>
      </c>
      <c r="S78" s="1">
        <v>7</v>
      </c>
    </row>
    <row r="79" spans="12:19" x14ac:dyDescent="0.3">
      <c r="L79" s="5">
        <v>45538</v>
      </c>
      <c r="M79" s="1">
        <v>1</v>
      </c>
      <c r="O79" s="5">
        <v>45538</v>
      </c>
      <c r="P79" s="1">
        <v>38</v>
      </c>
      <c r="R79" s="5">
        <v>45538</v>
      </c>
      <c r="S79" s="1">
        <v>7</v>
      </c>
    </row>
    <row r="80" spans="12:19" x14ac:dyDescent="0.3">
      <c r="L80" s="5">
        <v>45543</v>
      </c>
      <c r="M80" s="1">
        <v>1</v>
      </c>
      <c r="O80" s="5">
        <v>45543</v>
      </c>
      <c r="P80" s="1">
        <v>60</v>
      </c>
      <c r="R80" s="5">
        <v>45543</v>
      </c>
      <c r="S80" s="1">
        <v>0</v>
      </c>
    </row>
    <row r="81" spans="12:19" x14ac:dyDescent="0.3">
      <c r="L81" s="5">
        <v>45548</v>
      </c>
      <c r="M81" s="1">
        <v>1</v>
      </c>
      <c r="O81" s="5">
        <v>45548</v>
      </c>
      <c r="P81" s="1">
        <v>52</v>
      </c>
      <c r="R81" s="5">
        <v>45548</v>
      </c>
      <c r="S81" s="1">
        <v>10</v>
      </c>
    </row>
    <row r="82" spans="12:19" x14ac:dyDescent="0.3">
      <c r="L82" s="5">
        <v>45549</v>
      </c>
      <c r="M82" s="1">
        <v>1</v>
      </c>
      <c r="O82" s="5">
        <v>45549</v>
      </c>
      <c r="P82" s="1">
        <v>21</v>
      </c>
      <c r="R82" s="5">
        <v>45549</v>
      </c>
      <c r="S82" s="1">
        <v>2</v>
      </c>
    </row>
    <row r="83" spans="12:19" x14ac:dyDescent="0.3">
      <c r="L83" s="5">
        <v>45554</v>
      </c>
      <c r="M83" s="1">
        <v>1</v>
      </c>
      <c r="O83" s="5">
        <v>45554</v>
      </c>
      <c r="P83" s="1">
        <v>41</v>
      </c>
      <c r="R83" s="5">
        <v>45554</v>
      </c>
      <c r="S83" s="1">
        <v>7</v>
      </c>
    </row>
    <row r="84" spans="12:19" x14ac:dyDescent="0.3">
      <c r="L84" s="5">
        <v>45556</v>
      </c>
      <c r="M84" s="1">
        <v>1</v>
      </c>
      <c r="O84" s="5">
        <v>45556</v>
      </c>
      <c r="P84" s="1">
        <v>26</v>
      </c>
      <c r="R84" s="5">
        <v>45556</v>
      </c>
      <c r="S84" s="1">
        <v>2</v>
      </c>
    </row>
    <row r="85" spans="12:19" x14ac:dyDescent="0.3">
      <c r="L85" s="5">
        <v>45559</v>
      </c>
      <c r="M85" s="1">
        <v>1</v>
      </c>
      <c r="O85" s="5">
        <v>45559</v>
      </c>
      <c r="P85" s="1">
        <v>32</v>
      </c>
      <c r="R85" s="5">
        <v>45559</v>
      </c>
      <c r="S85" s="1">
        <v>2</v>
      </c>
    </row>
    <row r="86" spans="12:19" x14ac:dyDescent="0.3">
      <c r="L86" s="5">
        <v>45560</v>
      </c>
      <c r="M86" s="1">
        <v>1</v>
      </c>
      <c r="O86" s="5">
        <v>45560</v>
      </c>
      <c r="P86" s="1">
        <v>17</v>
      </c>
      <c r="R86" s="5">
        <v>45560</v>
      </c>
      <c r="S86" s="1">
        <v>6</v>
      </c>
    </row>
    <row r="87" spans="12:19" x14ac:dyDescent="0.3">
      <c r="L87" s="5">
        <v>45562</v>
      </c>
      <c r="M87" s="1">
        <v>1</v>
      </c>
      <c r="O87" s="5">
        <v>45562</v>
      </c>
      <c r="P87" s="1">
        <v>15</v>
      </c>
      <c r="R87" s="5">
        <v>45562</v>
      </c>
      <c r="S87" s="1">
        <v>0</v>
      </c>
    </row>
    <row r="88" spans="12:19" x14ac:dyDescent="0.3">
      <c r="L88" s="5">
        <v>45563</v>
      </c>
      <c r="M88" s="1">
        <v>1</v>
      </c>
      <c r="O88" s="5">
        <v>45563</v>
      </c>
      <c r="P88" s="1">
        <v>12</v>
      </c>
      <c r="R88" s="5">
        <v>45563</v>
      </c>
      <c r="S88" s="1">
        <v>3</v>
      </c>
    </row>
    <row r="89" spans="12:19" x14ac:dyDescent="0.3">
      <c r="L89" s="5">
        <v>45564</v>
      </c>
      <c r="M89" s="1">
        <v>1</v>
      </c>
      <c r="O89" s="5">
        <v>45564</v>
      </c>
      <c r="P89" s="1">
        <v>57</v>
      </c>
      <c r="R89" s="5">
        <v>45564</v>
      </c>
      <c r="S89" s="1">
        <v>0</v>
      </c>
    </row>
    <row r="90" spans="12:19" x14ac:dyDescent="0.3">
      <c r="L90" s="5">
        <v>45568</v>
      </c>
      <c r="M90" s="1">
        <v>1</v>
      </c>
      <c r="O90" s="5">
        <v>45568</v>
      </c>
      <c r="P90" s="1">
        <v>57</v>
      </c>
      <c r="R90" s="5">
        <v>45568</v>
      </c>
      <c r="S90" s="1">
        <v>4</v>
      </c>
    </row>
    <row r="91" spans="12:19" x14ac:dyDescent="0.3">
      <c r="L91" s="5">
        <v>45573</v>
      </c>
      <c r="M91" s="1">
        <v>1</v>
      </c>
      <c r="O91" s="5">
        <v>45573</v>
      </c>
      <c r="P91" s="1">
        <v>11</v>
      </c>
      <c r="R91" s="5">
        <v>45573</v>
      </c>
      <c r="S91" s="1">
        <v>9</v>
      </c>
    </row>
    <row r="92" spans="12:19" x14ac:dyDescent="0.3">
      <c r="L92" s="5">
        <v>45574</v>
      </c>
      <c r="M92" s="1">
        <v>1</v>
      </c>
      <c r="O92" s="5">
        <v>45574</v>
      </c>
      <c r="P92" s="1">
        <v>35</v>
      </c>
      <c r="R92" s="5">
        <v>45574</v>
      </c>
      <c r="S92" s="1">
        <v>2</v>
      </c>
    </row>
    <row r="93" spans="12:19" x14ac:dyDescent="0.3">
      <c r="L93" s="5">
        <v>45578</v>
      </c>
      <c r="M93" s="1">
        <v>1</v>
      </c>
      <c r="O93" s="5">
        <v>45578</v>
      </c>
      <c r="P93" s="1">
        <v>11</v>
      </c>
      <c r="R93" s="5">
        <v>45578</v>
      </c>
      <c r="S93" s="1">
        <v>6</v>
      </c>
    </row>
    <row r="94" spans="12:19" x14ac:dyDescent="0.3">
      <c r="L94" s="5">
        <v>45579</v>
      </c>
      <c r="M94" s="1">
        <v>1</v>
      </c>
      <c r="O94" s="5">
        <v>45579</v>
      </c>
      <c r="P94" s="1">
        <v>13</v>
      </c>
      <c r="R94" s="5">
        <v>45579</v>
      </c>
      <c r="S94" s="1">
        <v>0</v>
      </c>
    </row>
    <row r="95" spans="12:19" x14ac:dyDescent="0.3">
      <c r="L95" s="5">
        <v>45582</v>
      </c>
      <c r="M95" s="1">
        <v>1</v>
      </c>
      <c r="O95" s="5">
        <v>45582</v>
      </c>
      <c r="P95" s="1">
        <v>53</v>
      </c>
      <c r="R95" s="5">
        <v>45582</v>
      </c>
      <c r="S95" s="1">
        <v>6</v>
      </c>
    </row>
    <row r="96" spans="12:19" x14ac:dyDescent="0.3">
      <c r="L96" s="5">
        <v>45584</v>
      </c>
      <c r="M96" s="1">
        <v>1</v>
      </c>
      <c r="O96" s="5">
        <v>45584</v>
      </c>
      <c r="P96" s="1">
        <v>15</v>
      </c>
      <c r="R96" s="5">
        <v>45584</v>
      </c>
      <c r="S96" s="1">
        <v>1</v>
      </c>
    </row>
    <row r="97" spans="12:19" x14ac:dyDescent="0.3">
      <c r="L97" s="5">
        <v>45589</v>
      </c>
      <c r="M97" s="1">
        <v>2</v>
      </c>
      <c r="O97" s="5">
        <v>45589</v>
      </c>
      <c r="P97" s="1">
        <v>41</v>
      </c>
      <c r="R97" s="5">
        <v>45589</v>
      </c>
      <c r="S97" s="1">
        <v>5.5</v>
      </c>
    </row>
    <row r="98" spans="12:19" x14ac:dyDescent="0.3">
      <c r="L98" s="5">
        <v>45590</v>
      </c>
      <c r="M98" s="1">
        <v>1</v>
      </c>
      <c r="O98" s="5">
        <v>45590</v>
      </c>
      <c r="P98" s="1">
        <v>38</v>
      </c>
      <c r="R98" s="5">
        <v>45590</v>
      </c>
      <c r="S98" s="1">
        <v>8</v>
      </c>
    </row>
    <row r="99" spans="12:19" x14ac:dyDescent="0.3">
      <c r="L99" s="5">
        <v>45591</v>
      </c>
      <c r="M99" s="1">
        <v>1</v>
      </c>
      <c r="O99" s="5">
        <v>45591</v>
      </c>
      <c r="P99" s="1">
        <v>27</v>
      </c>
      <c r="R99" s="5">
        <v>45591</v>
      </c>
      <c r="S99" s="1">
        <v>0</v>
      </c>
    </row>
    <row r="100" spans="12:19" x14ac:dyDescent="0.3">
      <c r="L100" s="5">
        <v>45592</v>
      </c>
      <c r="M100" s="1">
        <v>1</v>
      </c>
      <c r="O100" s="5">
        <v>45592</v>
      </c>
      <c r="P100" s="1">
        <v>33</v>
      </c>
      <c r="R100" s="5">
        <v>45592</v>
      </c>
      <c r="S100" s="1">
        <v>9</v>
      </c>
    </row>
    <row r="101" spans="12:19" x14ac:dyDescent="0.3">
      <c r="L101" s="5">
        <v>45593</v>
      </c>
      <c r="M101" s="1">
        <v>2</v>
      </c>
      <c r="O101" s="5">
        <v>45593</v>
      </c>
      <c r="P101" s="1">
        <v>51</v>
      </c>
      <c r="R101" s="5">
        <v>45593</v>
      </c>
      <c r="S101" s="1">
        <v>4</v>
      </c>
    </row>
    <row r="102" spans="12:19" x14ac:dyDescent="0.3">
      <c r="L102" s="5">
        <v>45594</v>
      </c>
      <c r="M102" s="1">
        <v>1</v>
      </c>
      <c r="O102" s="5">
        <v>45594</v>
      </c>
      <c r="P102" s="1">
        <v>34</v>
      </c>
      <c r="R102" s="5">
        <v>45594</v>
      </c>
      <c r="S102" s="1">
        <v>0</v>
      </c>
    </row>
    <row r="103" spans="12:19" x14ac:dyDescent="0.3">
      <c r="L103" s="5">
        <v>45596</v>
      </c>
      <c r="M103" s="1">
        <v>1</v>
      </c>
      <c r="O103" s="5">
        <v>45596</v>
      </c>
      <c r="P103" s="1">
        <v>33</v>
      </c>
      <c r="R103" s="5">
        <v>45596</v>
      </c>
      <c r="S103" s="1">
        <v>2</v>
      </c>
    </row>
    <row r="104" spans="12:19" x14ac:dyDescent="0.3">
      <c r="L104" s="5">
        <v>45610</v>
      </c>
      <c r="M104" s="1">
        <v>1</v>
      </c>
      <c r="O104" s="5">
        <v>45610</v>
      </c>
      <c r="P104" s="1">
        <v>53</v>
      </c>
      <c r="R104" s="5">
        <v>45610</v>
      </c>
      <c r="S104" s="1">
        <v>10</v>
      </c>
    </row>
    <row r="105" spans="12:19" x14ac:dyDescent="0.3">
      <c r="L105" s="5">
        <v>45628</v>
      </c>
      <c r="M105" s="1">
        <v>1</v>
      </c>
      <c r="O105" s="5">
        <v>45628</v>
      </c>
      <c r="P105" s="1">
        <v>24</v>
      </c>
      <c r="R105" s="5">
        <v>45628</v>
      </c>
      <c r="S105" s="1">
        <v>8</v>
      </c>
    </row>
    <row r="106" spans="12:19" x14ac:dyDescent="0.3">
      <c r="L106" s="5">
        <v>45629</v>
      </c>
      <c r="M106" s="1">
        <v>1</v>
      </c>
      <c r="O106" s="5">
        <v>45629</v>
      </c>
      <c r="P106" s="1">
        <v>14</v>
      </c>
      <c r="R106" s="5">
        <v>45629</v>
      </c>
      <c r="S106" s="1">
        <v>9</v>
      </c>
    </row>
    <row r="107" spans="12:19" x14ac:dyDescent="0.3">
      <c r="L107" s="5">
        <v>45634</v>
      </c>
      <c r="M107" s="1">
        <v>2</v>
      </c>
      <c r="O107" s="5">
        <v>45634</v>
      </c>
      <c r="P107" s="1">
        <v>16</v>
      </c>
      <c r="R107" s="5">
        <v>45634</v>
      </c>
      <c r="S107" s="1">
        <v>8</v>
      </c>
    </row>
    <row r="108" spans="12:19" x14ac:dyDescent="0.3">
      <c r="L108" s="5">
        <v>45635</v>
      </c>
      <c r="M108" s="1">
        <v>1</v>
      </c>
      <c r="O108" s="5">
        <v>45635</v>
      </c>
      <c r="P108" s="1">
        <v>11</v>
      </c>
      <c r="R108" s="5">
        <v>45635</v>
      </c>
      <c r="S108" s="1">
        <v>4</v>
      </c>
    </row>
    <row r="109" spans="12:19" x14ac:dyDescent="0.3">
      <c r="L109" s="5">
        <v>45637</v>
      </c>
      <c r="M109" s="1">
        <v>1</v>
      </c>
      <c r="O109" s="5">
        <v>45637</v>
      </c>
      <c r="P109" s="1">
        <v>22</v>
      </c>
      <c r="R109" s="5">
        <v>45637</v>
      </c>
      <c r="S109" s="1">
        <v>3</v>
      </c>
    </row>
    <row r="110" spans="12:19" x14ac:dyDescent="0.3">
      <c r="L110" s="5">
        <v>45639</v>
      </c>
      <c r="M110" s="1">
        <v>2</v>
      </c>
      <c r="O110" s="5">
        <v>45639</v>
      </c>
      <c r="P110" s="1">
        <v>28.5</v>
      </c>
      <c r="R110" s="5">
        <v>45639</v>
      </c>
      <c r="S110" s="1">
        <v>3.5</v>
      </c>
    </row>
    <row r="111" spans="12:19" x14ac:dyDescent="0.3">
      <c r="L111" s="5">
        <v>45640</v>
      </c>
      <c r="M111" s="1">
        <v>3</v>
      </c>
      <c r="O111" s="5">
        <v>45640</v>
      </c>
      <c r="P111" s="1">
        <v>17.333333333333332</v>
      </c>
      <c r="R111" s="5">
        <v>45640</v>
      </c>
      <c r="S111" s="1">
        <v>2.6666666666666665</v>
      </c>
    </row>
    <row r="112" spans="12:19" x14ac:dyDescent="0.3">
      <c r="L112" s="5">
        <v>45643</v>
      </c>
      <c r="M112" s="1">
        <v>2</v>
      </c>
      <c r="O112" s="5">
        <v>45643</v>
      </c>
      <c r="P112" s="1">
        <v>12.5</v>
      </c>
      <c r="R112" s="5">
        <v>45643</v>
      </c>
      <c r="S112" s="1">
        <v>4</v>
      </c>
    </row>
    <row r="113" spans="12:19" x14ac:dyDescent="0.3">
      <c r="L113" s="5">
        <v>45645</v>
      </c>
      <c r="M113" s="1">
        <v>2</v>
      </c>
      <c r="O113" s="5">
        <v>45645</v>
      </c>
      <c r="P113" s="1">
        <v>43.5</v>
      </c>
      <c r="R113" s="5">
        <v>45645</v>
      </c>
      <c r="S113" s="1">
        <v>7</v>
      </c>
    </row>
    <row r="114" spans="12:19" x14ac:dyDescent="0.3">
      <c r="L114" s="5">
        <v>45647</v>
      </c>
      <c r="M114" s="1">
        <v>4</v>
      </c>
      <c r="O114" s="5">
        <v>45647</v>
      </c>
      <c r="P114" s="1">
        <v>27</v>
      </c>
      <c r="R114" s="5">
        <v>45647</v>
      </c>
      <c r="S114" s="1">
        <v>3.75</v>
      </c>
    </row>
    <row r="115" spans="12:19" x14ac:dyDescent="0.3">
      <c r="L115" s="5">
        <v>45650</v>
      </c>
      <c r="M115" s="1">
        <v>2</v>
      </c>
      <c r="O115" s="5">
        <v>45650</v>
      </c>
      <c r="P115" s="1">
        <v>11.5</v>
      </c>
      <c r="R115" s="5">
        <v>45650</v>
      </c>
      <c r="S115" s="1">
        <v>6.5</v>
      </c>
    </row>
    <row r="116" spans="12:19" x14ac:dyDescent="0.3">
      <c r="L116" s="5">
        <v>45651</v>
      </c>
      <c r="M116" s="1">
        <v>2</v>
      </c>
      <c r="O116" s="5">
        <v>45651</v>
      </c>
      <c r="P116" s="1">
        <v>29</v>
      </c>
      <c r="R116" s="5">
        <v>45651</v>
      </c>
      <c r="S116" s="1">
        <v>7.5</v>
      </c>
    </row>
    <row r="117" spans="12:19" x14ac:dyDescent="0.3">
      <c r="L117" s="5">
        <v>45652</v>
      </c>
      <c r="M117" s="1">
        <v>2</v>
      </c>
      <c r="O117" s="5">
        <v>45652</v>
      </c>
      <c r="P117" s="1">
        <v>33</v>
      </c>
      <c r="R117" s="5">
        <v>45652</v>
      </c>
      <c r="S117" s="1">
        <v>4</v>
      </c>
    </row>
    <row r="118" spans="12:19" x14ac:dyDescent="0.3">
      <c r="L118" s="5">
        <v>45653</v>
      </c>
      <c r="M118" s="1">
        <v>2</v>
      </c>
      <c r="O118" s="5">
        <v>45653</v>
      </c>
      <c r="P118" s="1">
        <v>24.5</v>
      </c>
      <c r="R118" s="5">
        <v>45653</v>
      </c>
      <c r="S118" s="1">
        <v>3</v>
      </c>
    </row>
    <row r="119" spans="12:19" x14ac:dyDescent="0.3">
      <c r="L119" s="5">
        <v>45654</v>
      </c>
      <c r="M119" s="1">
        <v>2</v>
      </c>
      <c r="O119" s="5">
        <v>45654</v>
      </c>
      <c r="P119" s="1">
        <v>21.5</v>
      </c>
      <c r="R119" s="5">
        <v>45654</v>
      </c>
      <c r="S119" s="1">
        <v>6.5</v>
      </c>
    </row>
    <row r="120" spans="12:19" x14ac:dyDescent="0.3">
      <c r="L120" s="5">
        <v>45655</v>
      </c>
      <c r="M120" s="1">
        <v>3</v>
      </c>
      <c r="O120" s="5">
        <v>45655</v>
      </c>
      <c r="P120" s="1">
        <v>41.333333333333336</v>
      </c>
      <c r="R120" s="5">
        <v>45655</v>
      </c>
      <c r="S120" s="1">
        <v>5.666666666666667</v>
      </c>
    </row>
    <row r="121" spans="12:19" x14ac:dyDescent="0.3">
      <c r="L121" s="5">
        <v>45657</v>
      </c>
      <c r="M121" s="1">
        <v>2</v>
      </c>
      <c r="O121" s="5">
        <v>45657</v>
      </c>
      <c r="P121" s="1">
        <v>48</v>
      </c>
      <c r="R121" s="5">
        <v>45657</v>
      </c>
      <c r="S121" s="1">
        <v>5</v>
      </c>
    </row>
    <row r="122" spans="12:19" x14ac:dyDescent="0.3">
      <c r="L122" s="5">
        <v>45661</v>
      </c>
      <c r="M122" s="1">
        <v>1</v>
      </c>
      <c r="O122" s="5">
        <v>45661</v>
      </c>
      <c r="P122" s="1">
        <v>39</v>
      </c>
      <c r="R122" s="5">
        <v>45661</v>
      </c>
      <c r="S122" s="1">
        <v>0</v>
      </c>
    </row>
    <row r="123" spans="12:19" x14ac:dyDescent="0.3">
      <c r="L123" s="5">
        <v>45663</v>
      </c>
      <c r="M123" s="1">
        <v>1</v>
      </c>
      <c r="O123" s="5">
        <v>45663</v>
      </c>
      <c r="P123" s="1">
        <v>25</v>
      </c>
      <c r="R123" s="5">
        <v>45663</v>
      </c>
      <c r="S123" s="1">
        <v>0</v>
      </c>
    </row>
    <row r="124" spans="12:19" x14ac:dyDescent="0.3">
      <c r="L124" s="5">
        <v>45664</v>
      </c>
      <c r="M124" s="1">
        <v>1</v>
      </c>
      <c r="O124" s="5">
        <v>45664</v>
      </c>
      <c r="P124" s="1">
        <v>32</v>
      </c>
      <c r="R124" s="5">
        <v>45664</v>
      </c>
      <c r="S124" s="1">
        <v>1</v>
      </c>
    </row>
    <row r="125" spans="12:19" x14ac:dyDescent="0.3">
      <c r="L125" s="5">
        <v>45668</v>
      </c>
      <c r="M125" s="1">
        <v>1</v>
      </c>
      <c r="O125" s="5">
        <v>45668</v>
      </c>
      <c r="P125" s="1">
        <v>35</v>
      </c>
      <c r="R125" s="5">
        <v>45668</v>
      </c>
      <c r="S125" s="1">
        <v>6</v>
      </c>
    </row>
    <row r="126" spans="12:19" x14ac:dyDescent="0.3">
      <c r="L126" s="5">
        <v>45669</v>
      </c>
      <c r="M126" s="1">
        <v>1</v>
      </c>
      <c r="O126" s="5">
        <v>45669</v>
      </c>
      <c r="P126" s="1">
        <v>49</v>
      </c>
      <c r="R126" s="5">
        <v>45669</v>
      </c>
      <c r="S126" s="1">
        <v>7</v>
      </c>
    </row>
    <row r="127" spans="12:19" x14ac:dyDescent="0.3">
      <c r="L127" s="5">
        <v>45673</v>
      </c>
      <c r="M127" s="1">
        <v>1</v>
      </c>
      <c r="O127" s="5">
        <v>45673</v>
      </c>
      <c r="P127" s="1">
        <v>37</v>
      </c>
      <c r="R127" s="5">
        <v>45673</v>
      </c>
      <c r="S127" s="1">
        <v>9</v>
      </c>
    </row>
    <row r="128" spans="12:19" x14ac:dyDescent="0.3">
      <c r="L128" s="5">
        <v>45674</v>
      </c>
      <c r="M128" s="1">
        <v>1</v>
      </c>
      <c r="O128" s="5">
        <v>45674</v>
      </c>
      <c r="P128" s="1">
        <v>43</v>
      </c>
      <c r="R128" s="5">
        <v>45674</v>
      </c>
      <c r="S128" s="1">
        <v>4</v>
      </c>
    </row>
    <row r="129" spans="12:19" x14ac:dyDescent="0.3">
      <c r="L129" s="5">
        <v>45681</v>
      </c>
      <c r="M129" s="1">
        <v>1</v>
      </c>
      <c r="O129" s="5">
        <v>45681</v>
      </c>
      <c r="P129" s="1">
        <v>52</v>
      </c>
      <c r="R129" s="5">
        <v>45681</v>
      </c>
      <c r="S129" s="1">
        <v>7</v>
      </c>
    </row>
    <row r="130" spans="12:19" x14ac:dyDescent="0.3">
      <c r="L130" s="5">
        <v>45687</v>
      </c>
      <c r="M130" s="1">
        <v>1</v>
      </c>
      <c r="O130" s="5">
        <v>45687</v>
      </c>
      <c r="P130" s="1">
        <v>49</v>
      </c>
      <c r="R130" s="5">
        <v>45687</v>
      </c>
      <c r="S130" s="1">
        <v>2</v>
      </c>
    </row>
    <row r="131" spans="12:19" x14ac:dyDescent="0.3">
      <c r="L131" s="5">
        <v>45690</v>
      </c>
      <c r="M131" s="1">
        <v>1</v>
      </c>
      <c r="O131" s="5">
        <v>45690</v>
      </c>
      <c r="P131" s="1">
        <v>37</v>
      </c>
      <c r="R131" s="5">
        <v>45690</v>
      </c>
      <c r="S131" s="1">
        <v>6</v>
      </c>
    </row>
    <row r="132" spans="12:19" x14ac:dyDescent="0.3">
      <c r="L132" s="5">
        <v>45691</v>
      </c>
      <c r="M132" s="1">
        <v>1</v>
      </c>
      <c r="O132" s="5">
        <v>45691</v>
      </c>
      <c r="P132" s="1">
        <v>57</v>
      </c>
      <c r="R132" s="5">
        <v>45691</v>
      </c>
      <c r="S132" s="1">
        <v>7</v>
      </c>
    </row>
    <row r="133" spans="12:19" x14ac:dyDescent="0.3">
      <c r="L133" s="5">
        <v>45695</v>
      </c>
      <c r="M133" s="1">
        <v>1</v>
      </c>
      <c r="O133" s="5">
        <v>45695</v>
      </c>
      <c r="P133" s="1">
        <v>56</v>
      </c>
      <c r="R133" s="5">
        <v>45695</v>
      </c>
      <c r="S133" s="1">
        <v>6</v>
      </c>
    </row>
    <row r="134" spans="12:19" x14ac:dyDescent="0.3">
      <c r="L134" s="5">
        <v>45697</v>
      </c>
      <c r="M134" s="1">
        <v>1</v>
      </c>
      <c r="O134" s="5">
        <v>45697</v>
      </c>
      <c r="P134" s="1">
        <v>21</v>
      </c>
      <c r="R134" s="5">
        <v>45697</v>
      </c>
      <c r="S134" s="1">
        <v>0</v>
      </c>
    </row>
    <row r="135" spans="12:19" x14ac:dyDescent="0.3">
      <c r="L135" s="5">
        <v>45698</v>
      </c>
      <c r="M135" s="1">
        <v>1</v>
      </c>
      <c r="O135" s="5">
        <v>45698</v>
      </c>
      <c r="P135" s="1">
        <v>28</v>
      </c>
      <c r="R135" s="5">
        <v>45698</v>
      </c>
      <c r="S135" s="1">
        <v>7</v>
      </c>
    </row>
    <row r="136" spans="12:19" x14ac:dyDescent="0.3">
      <c r="L136" s="5">
        <v>45699</v>
      </c>
      <c r="M136" s="1">
        <v>1</v>
      </c>
      <c r="O136" s="5">
        <v>45699</v>
      </c>
      <c r="P136" s="1">
        <v>49</v>
      </c>
      <c r="R136" s="5">
        <v>45699</v>
      </c>
      <c r="S136" s="1">
        <v>7</v>
      </c>
    </row>
    <row r="137" spans="12:19" x14ac:dyDescent="0.3">
      <c r="L137" s="5">
        <v>45700</v>
      </c>
      <c r="M137" s="1">
        <v>1</v>
      </c>
      <c r="O137" s="5">
        <v>45700</v>
      </c>
      <c r="P137" s="1">
        <v>22</v>
      </c>
      <c r="R137" s="5">
        <v>45700</v>
      </c>
      <c r="S137" s="1">
        <v>10</v>
      </c>
    </row>
    <row r="138" spans="12:19" x14ac:dyDescent="0.3">
      <c r="L138" s="5">
        <v>45703</v>
      </c>
      <c r="M138" s="1">
        <v>1</v>
      </c>
      <c r="O138" s="5">
        <v>45703</v>
      </c>
      <c r="P138" s="1">
        <v>10</v>
      </c>
      <c r="R138" s="5">
        <v>45703</v>
      </c>
      <c r="S138" s="1">
        <v>1</v>
      </c>
    </row>
    <row r="139" spans="12:19" x14ac:dyDescent="0.3">
      <c r="L139" s="5">
        <v>45704</v>
      </c>
      <c r="M139" s="1">
        <v>1</v>
      </c>
      <c r="O139" s="5">
        <v>45704</v>
      </c>
      <c r="P139" s="1">
        <v>52</v>
      </c>
      <c r="R139" s="5">
        <v>45704</v>
      </c>
      <c r="S139" s="1">
        <v>8</v>
      </c>
    </row>
    <row r="140" spans="12:19" x14ac:dyDescent="0.3">
      <c r="L140" s="5">
        <v>45706</v>
      </c>
      <c r="M140" s="1">
        <v>1</v>
      </c>
      <c r="O140" s="5">
        <v>45706</v>
      </c>
      <c r="P140" s="1">
        <v>43</v>
      </c>
      <c r="R140" s="5">
        <v>45706</v>
      </c>
      <c r="S140" s="1">
        <v>5</v>
      </c>
    </row>
    <row r="141" spans="12:19" x14ac:dyDescent="0.3">
      <c r="L141" s="5">
        <v>45708</v>
      </c>
      <c r="M141" s="1">
        <v>1</v>
      </c>
      <c r="O141" s="5">
        <v>45708</v>
      </c>
      <c r="P141" s="1">
        <v>56</v>
      </c>
      <c r="R141" s="5">
        <v>45708</v>
      </c>
      <c r="S141" s="1">
        <v>3</v>
      </c>
    </row>
    <row r="142" spans="12:19" x14ac:dyDescent="0.3">
      <c r="L142" s="5">
        <v>45710</v>
      </c>
      <c r="M142" s="1">
        <v>1</v>
      </c>
      <c r="O142" s="5">
        <v>45710</v>
      </c>
      <c r="P142" s="1">
        <v>20</v>
      </c>
      <c r="R142" s="5">
        <v>45710</v>
      </c>
      <c r="S142" s="1">
        <v>1</v>
      </c>
    </row>
    <row r="143" spans="12:19" x14ac:dyDescent="0.3">
      <c r="L143" s="5">
        <v>45718</v>
      </c>
      <c r="M143" s="1">
        <v>1</v>
      </c>
      <c r="O143" s="5">
        <v>45718</v>
      </c>
      <c r="P143" s="1">
        <v>52</v>
      </c>
      <c r="R143" s="5">
        <v>45718</v>
      </c>
      <c r="S143" s="1">
        <v>4</v>
      </c>
    </row>
    <row r="144" spans="12:19" x14ac:dyDescent="0.3">
      <c r="L144" s="5">
        <v>45723</v>
      </c>
      <c r="M144" s="1">
        <v>1</v>
      </c>
      <c r="O144" s="5">
        <v>45723</v>
      </c>
      <c r="P144" s="1">
        <v>42</v>
      </c>
      <c r="R144" s="5">
        <v>45723</v>
      </c>
      <c r="S144" s="1">
        <v>10</v>
      </c>
    </row>
    <row r="145" spans="12:19" x14ac:dyDescent="0.3">
      <c r="L145" s="5">
        <v>45726</v>
      </c>
      <c r="M145" s="1">
        <v>1</v>
      </c>
      <c r="O145" s="5">
        <v>45726</v>
      </c>
      <c r="P145" s="1">
        <v>43</v>
      </c>
      <c r="R145" s="5">
        <v>45726</v>
      </c>
      <c r="S145" s="1">
        <v>0</v>
      </c>
    </row>
    <row r="146" spans="12:19" x14ac:dyDescent="0.3">
      <c r="L146" s="5">
        <v>45727</v>
      </c>
      <c r="M146" s="1">
        <v>1</v>
      </c>
      <c r="O146" s="5">
        <v>45727</v>
      </c>
      <c r="P146" s="1">
        <v>40</v>
      </c>
      <c r="R146" s="5">
        <v>45727</v>
      </c>
      <c r="S146" s="1">
        <v>0</v>
      </c>
    </row>
    <row r="147" spans="12:19" x14ac:dyDescent="0.3">
      <c r="L147" s="5">
        <v>45732</v>
      </c>
      <c r="M147" s="1">
        <v>1</v>
      </c>
      <c r="O147" s="5">
        <v>45732</v>
      </c>
      <c r="P147" s="1">
        <v>44</v>
      </c>
      <c r="R147" s="5">
        <v>45732</v>
      </c>
      <c r="S147" s="1">
        <v>1</v>
      </c>
    </row>
    <row r="148" spans="12:19" x14ac:dyDescent="0.3">
      <c r="L148" s="5">
        <v>45749</v>
      </c>
      <c r="M148" s="1">
        <v>1</v>
      </c>
      <c r="O148" s="5">
        <v>45749</v>
      </c>
      <c r="P148" s="1">
        <v>28</v>
      </c>
      <c r="R148" s="5">
        <v>45749</v>
      </c>
      <c r="S148" s="1">
        <v>2</v>
      </c>
    </row>
    <row r="149" spans="12:19" x14ac:dyDescent="0.3">
      <c r="L149" s="5">
        <v>45751</v>
      </c>
      <c r="M149" s="1">
        <v>1</v>
      </c>
      <c r="O149" s="5">
        <v>45751</v>
      </c>
      <c r="P149" s="1">
        <v>27</v>
      </c>
      <c r="R149" s="5">
        <v>45751</v>
      </c>
      <c r="S149" s="1">
        <v>8</v>
      </c>
    </row>
    <row r="150" spans="12:19" x14ac:dyDescent="0.3">
      <c r="L150" s="5">
        <v>45753</v>
      </c>
      <c r="M150" s="1">
        <v>1</v>
      </c>
      <c r="O150" s="5">
        <v>45753</v>
      </c>
      <c r="P150" s="1">
        <v>30</v>
      </c>
      <c r="R150" s="5">
        <v>45753</v>
      </c>
      <c r="S150" s="1">
        <v>4</v>
      </c>
    </row>
    <row r="151" spans="12:19" x14ac:dyDescent="0.3">
      <c r="L151" s="5">
        <v>45754</v>
      </c>
      <c r="M151" s="1">
        <v>1</v>
      </c>
      <c r="O151" s="5">
        <v>45754</v>
      </c>
      <c r="P151" s="1">
        <v>25</v>
      </c>
      <c r="R151" s="5">
        <v>45754</v>
      </c>
      <c r="S151" s="1">
        <v>7</v>
      </c>
    </row>
    <row r="152" spans="12:19" x14ac:dyDescent="0.3">
      <c r="L152" s="5">
        <v>45756</v>
      </c>
      <c r="M152" s="1">
        <v>1</v>
      </c>
      <c r="O152" s="5">
        <v>45756</v>
      </c>
      <c r="P152" s="1">
        <v>10</v>
      </c>
      <c r="R152" s="5">
        <v>45756</v>
      </c>
      <c r="S152" s="1">
        <v>5</v>
      </c>
    </row>
    <row r="153" spans="12:19" x14ac:dyDescent="0.3">
      <c r="L153" s="5">
        <v>45757</v>
      </c>
      <c r="M153" s="1">
        <v>1</v>
      </c>
      <c r="O153" s="5">
        <v>45757</v>
      </c>
      <c r="P153" s="1">
        <v>28</v>
      </c>
      <c r="R153" s="5">
        <v>45757</v>
      </c>
      <c r="S153" s="1">
        <v>9</v>
      </c>
    </row>
    <row r="154" spans="12:19" x14ac:dyDescent="0.3">
      <c r="L154" s="5">
        <v>45758</v>
      </c>
      <c r="M154" s="1">
        <v>1</v>
      </c>
      <c r="O154" s="5">
        <v>45758</v>
      </c>
      <c r="P154" s="1">
        <v>32</v>
      </c>
      <c r="R154" s="5">
        <v>45758</v>
      </c>
      <c r="S154" s="1">
        <v>6</v>
      </c>
    </row>
    <row r="155" spans="12:19" x14ac:dyDescent="0.3">
      <c r="L155" s="5">
        <v>45759</v>
      </c>
      <c r="M155" s="1">
        <v>1</v>
      </c>
      <c r="O155" s="5">
        <v>45759</v>
      </c>
      <c r="P155" s="1">
        <v>57</v>
      </c>
      <c r="R155" s="5">
        <v>45759</v>
      </c>
      <c r="S155" s="1">
        <v>10</v>
      </c>
    </row>
    <row r="156" spans="12:19" x14ac:dyDescent="0.3">
      <c r="L156" s="5">
        <v>45762</v>
      </c>
      <c r="M156" s="1">
        <v>1</v>
      </c>
      <c r="O156" s="5">
        <v>45762</v>
      </c>
      <c r="P156" s="1">
        <v>59</v>
      </c>
      <c r="R156" s="5">
        <v>45762</v>
      </c>
      <c r="S156" s="1">
        <v>7</v>
      </c>
    </row>
    <row r="157" spans="12:19" x14ac:dyDescent="0.3">
      <c r="L157" s="5">
        <v>45764</v>
      </c>
      <c r="M157" s="1">
        <v>1</v>
      </c>
      <c r="O157" s="5">
        <v>45764</v>
      </c>
      <c r="P157" s="1">
        <v>18</v>
      </c>
      <c r="R157" s="5">
        <v>45764</v>
      </c>
      <c r="S157" s="1">
        <v>7</v>
      </c>
    </row>
    <row r="158" spans="12:19" x14ac:dyDescent="0.3">
      <c r="L158" s="5">
        <v>45765</v>
      </c>
      <c r="M158" s="1">
        <v>1</v>
      </c>
      <c r="O158" s="5">
        <v>45765</v>
      </c>
      <c r="P158" s="1">
        <v>25</v>
      </c>
      <c r="R158" s="5">
        <v>45765</v>
      </c>
      <c r="S158" s="1">
        <v>5</v>
      </c>
    </row>
    <row r="159" spans="12:19" x14ac:dyDescent="0.3">
      <c r="L159" s="5">
        <v>45767</v>
      </c>
      <c r="M159" s="1">
        <v>2</v>
      </c>
      <c r="O159" s="5">
        <v>45767</v>
      </c>
      <c r="P159" s="1">
        <v>36</v>
      </c>
      <c r="R159" s="5">
        <v>45767</v>
      </c>
      <c r="S159" s="1">
        <v>4.5</v>
      </c>
    </row>
    <row r="160" spans="12:19" x14ac:dyDescent="0.3">
      <c r="L160" s="5">
        <v>45769</v>
      </c>
      <c r="M160" s="1">
        <v>1</v>
      </c>
      <c r="O160" s="5">
        <v>45769</v>
      </c>
      <c r="P160" s="1">
        <v>59</v>
      </c>
      <c r="R160" s="5">
        <v>45769</v>
      </c>
      <c r="S160" s="1">
        <v>1</v>
      </c>
    </row>
    <row r="161" spans="12:19" x14ac:dyDescent="0.3">
      <c r="L161" s="5">
        <v>45777</v>
      </c>
      <c r="M161" s="1">
        <v>1</v>
      </c>
      <c r="O161" s="5">
        <v>45777</v>
      </c>
      <c r="P161" s="1">
        <v>51</v>
      </c>
      <c r="R161" s="5">
        <v>45777</v>
      </c>
      <c r="S161" s="1">
        <v>1</v>
      </c>
    </row>
    <row r="162" spans="12:19" x14ac:dyDescent="0.3">
      <c r="L162" s="5">
        <v>45779</v>
      </c>
      <c r="M162" s="1">
        <v>1</v>
      </c>
      <c r="O162" s="5">
        <v>45779</v>
      </c>
      <c r="P162" s="1">
        <v>46</v>
      </c>
      <c r="R162" s="5">
        <v>45779</v>
      </c>
      <c r="S162" s="1">
        <v>0</v>
      </c>
    </row>
    <row r="163" spans="12:19" x14ac:dyDescent="0.3">
      <c r="L163" s="5">
        <v>45781</v>
      </c>
      <c r="M163" s="1">
        <v>1</v>
      </c>
      <c r="O163" s="5">
        <v>45781</v>
      </c>
      <c r="P163" s="1">
        <v>12</v>
      </c>
      <c r="R163" s="5">
        <v>45781</v>
      </c>
      <c r="S163" s="1">
        <v>5</v>
      </c>
    </row>
    <row r="164" spans="12:19" x14ac:dyDescent="0.3">
      <c r="L164" s="5">
        <v>45782</v>
      </c>
      <c r="M164" s="1">
        <v>1</v>
      </c>
      <c r="O164" s="5">
        <v>45782</v>
      </c>
      <c r="P164" s="1">
        <v>49</v>
      </c>
      <c r="R164" s="5">
        <v>45782</v>
      </c>
      <c r="S164" s="1">
        <v>9</v>
      </c>
    </row>
    <row r="165" spans="12:19" x14ac:dyDescent="0.3">
      <c r="L165" s="5">
        <v>45783</v>
      </c>
      <c r="M165" s="1">
        <v>1</v>
      </c>
      <c r="O165" s="5">
        <v>45783</v>
      </c>
      <c r="P165" s="1">
        <v>53</v>
      </c>
      <c r="R165" s="5">
        <v>45783</v>
      </c>
      <c r="S165" s="1">
        <v>10</v>
      </c>
    </row>
    <row r="166" spans="12:19" x14ac:dyDescent="0.3">
      <c r="L166" s="5">
        <v>45786</v>
      </c>
      <c r="M166" s="1">
        <v>1</v>
      </c>
      <c r="O166" s="5">
        <v>45786</v>
      </c>
      <c r="P166" s="1">
        <v>52</v>
      </c>
      <c r="R166" s="5">
        <v>45786</v>
      </c>
      <c r="S166" s="1">
        <v>0</v>
      </c>
    </row>
    <row r="167" spans="12:19" x14ac:dyDescent="0.3">
      <c r="L167" s="5">
        <v>45787</v>
      </c>
      <c r="M167" s="1">
        <v>2</v>
      </c>
      <c r="O167" s="5">
        <v>45787</v>
      </c>
      <c r="P167" s="1">
        <v>31</v>
      </c>
      <c r="R167" s="5">
        <v>45787</v>
      </c>
      <c r="S167" s="1">
        <v>5.5</v>
      </c>
    </row>
    <row r="168" spans="12:19" x14ac:dyDescent="0.3">
      <c r="L168" s="5">
        <v>45789</v>
      </c>
      <c r="M168" s="1">
        <v>1</v>
      </c>
      <c r="O168" s="5">
        <v>45789</v>
      </c>
      <c r="P168" s="1">
        <v>50</v>
      </c>
      <c r="R168" s="5">
        <v>45789</v>
      </c>
      <c r="S168" s="1">
        <v>7</v>
      </c>
    </row>
    <row r="169" spans="12:19" x14ac:dyDescent="0.3">
      <c r="L169" s="5">
        <v>45792</v>
      </c>
      <c r="M169" s="1">
        <v>1</v>
      </c>
      <c r="O169" s="5">
        <v>45792</v>
      </c>
      <c r="P169" s="1">
        <v>44</v>
      </c>
      <c r="R169" s="5">
        <v>45792</v>
      </c>
      <c r="S169" s="1">
        <v>6</v>
      </c>
    </row>
    <row r="170" spans="12:19" x14ac:dyDescent="0.3">
      <c r="L170" s="5">
        <v>45793</v>
      </c>
      <c r="M170" s="1">
        <v>1</v>
      </c>
      <c r="O170" s="5">
        <v>45793</v>
      </c>
      <c r="P170" s="1">
        <v>11</v>
      </c>
      <c r="R170" s="5">
        <v>45793</v>
      </c>
      <c r="S170" s="1">
        <v>10</v>
      </c>
    </row>
    <row r="171" spans="12:19" x14ac:dyDescent="0.3">
      <c r="L171" s="5">
        <v>45795</v>
      </c>
      <c r="M171" s="1">
        <v>1</v>
      </c>
      <c r="O171" s="5">
        <v>45795</v>
      </c>
      <c r="P171" s="1">
        <v>52</v>
      </c>
      <c r="R171" s="5">
        <v>45795</v>
      </c>
      <c r="S171" s="1">
        <v>6</v>
      </c>
    </row>
    <row r="172" spans="12:19" x14ac:dyDescent="0.3">
      <c r="L172" s="5">
        <v>45797</v>
      </c>
      <c r="M172" s="1">
        <v>1</v>
      </c>
      <c r="O172" s="5">
        <v>45797</v>
      </c>
      <c r="P172" s="1">
        <v>58</v>
      </c>
      <c r="R172" s="5">
        <v>45797</v>
      </c>
      <c r="S172" s="1">
        <v>8</v>
      </c>
    </row>
    <row r="173" spans="12:19" x14ac:dyDescent="0.3">
      <c r="L173" s="5">
        <v>45799</v>
      </c>
      <c r="M173" s="1">
        <v>1</v>
      </c>
      <c r="O173" s="5">
        <v>45799</v>
      </c>
      <c r="P173" s="1">
        <v>51</v>
      </c>
      <c r="R173" s="5">
        <v>45799</v>
      </c>
      <c r="S173" s="1">
        <v>0</v>
      </c>
    </row>
    <row r="174" spans="12:19" x14ac:dyDescent="0.3">
      <c r="L174" s="5">
        <v>45807</v>
      </c>
      <c r="M174" s="1">
        <v>1</v>
      </c>
      <c r="O174" s="5">
        <v>45807</v>
      </c>
      <c r="P174" s="1">
        <v>10</v>
      </c>
      <c r="R174" s="5">
        <v>45807</v>
      </c>
      <c r="S174" s="1">
        <v>0</v>
      </c>
    </row>
    <row r="175" spans="12:19" x14ac:dyDescent="0.3">
      <c r="L175" s="5">
        <v>45819</v>
      </c>
      <c r="M175" s="1">
        <v>1</v>
      </c>
      <c r="O175" s="5">
        <v>45819</v>
      </c>
      <c r="P175" s="1">
        <v>14</v>
      </c>
      <c r="R175" s="5">
        <v>45819</v>
      </c>
      <c r="S175" s="1">
        <v>7</v>
      </c>
    </row>
    <row r="176" spans="12:19" x14ac:dyDescent="0.3">
      <c r="L176" s="5">
        <v>45824</v>
      </c>
      <c r="M176" s="1">
        <v>1</v>
      </c>
      <c r="O176" s="5">
        <v>45824</v>
      </c>
      <c r="P176" s="1">
        <v>55</v>
      </c>
      <c r="R176" s="5">
        <v>45824</v>
      </c>
      <c r="S176" s="1">
        <v>10</v>
      </c>
    </row>
    <row r="177" spans="12:19" x14ac:dyDescent="0.3">
      <c r="L177" s="5">
        <v>45826</v>
      </c>
      <c r="M177" s="1">
        <v>1</v>
      </c>
      <c r="O177" s="5">
        <v>45826</v>
      </c>
      <c r="P177" s="1">
        <v>21</v>
      </c>
      <c r="R177" s="5">
        <v>45826</v>
      </c>
      <c r="S177" s="1">
        <v>1</v>
      </c>
    </row>
    <row r="178" spans="12:19" x14ac:dyDescent="0.3">
      <c r="L178" s="5">
        <v>45828</v>
      </c>
      <c r="M178" s="1">
        <v>1</v>
      </c>
      <c r="O178" s="5">
        <v>45828</v>
      </c>
      <c r="P178" s="1">
        <v>60</v>
      </c>
      <c r="R178" s="5">
        <v>45828</v>
      </c>
      <c r="S178" s="1">
        <v>3</v>
      </c>
    </row>
    <row r="179" spans="12:19" x14ac:dyDescent="0.3">
      <c r="L179" s="5">
        <v>45830</v>
      </c>
      <c r="M179" s="1">
        <v>1</v>
      </c>
      <c r="O179" s="5">
        <v>45830</v>
      </c>
      <c r="P179" s="1">
        <v>11</v>
      </c>
      <c r="R179" s="5">
        <v>45830</v>
      </c>
      <c r="S179" s="1">
        <v>0</v>
      </c>
    </row>
    <row r="180" spans="12:19" x14ac:dyDescent="0.3">
      <c r="L180" s="5">
        <v>45835</v>
      </c>
      <c r="M180" s="1">
        <v>1</v>
      </c>
      <c r="O180" s="5">
        <v>45835</v>
      </c>
      <c r="P180" s="1">
        <v>23</v>
      </c>
      <c r="R180" s="5">
        <v>45835</v>
      </c>
      <c r="S180" s="1">
        <v>4</v>
      </c>
    </row>
    <row r="181" spans="12:19" x14ac:dyDescent="0.3">
      <c r="L181" s="5">
        <v>45840</v>
      </c>
      <c r="M181" s="1">
        <v>1</v>
      </c>
      <c r="O181" s="5">
        <v>45840</v>
      </c>
      <c r="P181" s="1">
        <v>33</v>
      </c>
      <c r="R181" s="5">
        <v>45840</v>
      </c>
      <c r="S181" s="1">
        <v>4</v>
      </c>
    </row>
    <row r="182" spans="12:19" x14ac:dyDescent="0.3">
      <c r="L182" s="5">
        <v>45842</v>
      </c>
      <c r="M182" s="1">
        <v>1</v>
      </c>
      <c r="O182" s="5">
        <v>45842</v>
      </c>
      <c r="P182" s="1">
        <v>57</v>
      </c>
      <c r="R182" s="5">
        <v>45842</v>
      </c>
      <c r="S182" s="1">
        <v>9</v>
      </c>
    </row>
    <row r="183" spans="12:19" x14ac:dyDescent="0.3">
      <c r="L183" s="5">
        <v>45844</v>
      </c>
      <c r="M183" s="1">
        <v>1</v>
      </c>
      <c r="O183" s="5">
        <v>45844</v>
      </c>
      <c r="P183" s="1">
        <v>13</v>
      </c>
      <c r="R183" s="5">
        <v>45844</v>
      </c>
      <c r="S183" s="1">
        <v>6</v>
      </c>
    </row>
    <row r="184" spans="12:19" x14ac:dyDescent="0.3">
      <c r="L184" s="5">
        <v>45845</v>
      </c>
      <c r="M184" s="1">
        <v>1</v>
      </c>
      <c r="O184" s="5">
        <v>45845</v>
      </c>
      <c r="P184" s="1">
        <v>40</v>
      </c>
      <c r="R184" s="5">
        <v>45845</v>
      </c>
      <c r="S184" s="1">
        <v>4</v>
      </c>
    </row>
    <row r="185" spans="12:19" x14ac:dyDescent="0.3">
      <c r="L185" s="5">
        <v>45846</v>
      </c>
      <c r="M185" s="1">
        <v>1</v>
      </c>
      <c r="O185" s="5">
        <v>45846</v>
      </c>
      <c r="P185" s="1">
        <v>36</v>
      </c>
      <c r="R185" s="5">
        <v>45846</v>
      </c>
      <c r="S185" s="1">
        <v>1</v>
      </c>
    </row>
    <row r="186" spans="12:19" x14ac:dyDescent="0.3">
      <c r="L186" s="5">
        <v>45847</v>
      </c>
      <c r="M186" s="1">
        <v>1</v>
      </c>
      <c r="O186" s="5">
        <v>45847</v>
      </c>
      <c r="P186" s="1">
        <v>38</v>
      </c>
      <c r="R186" s="5">
        <v>45847</v>
      </c>
      <c r="S186" s="1">
        <v>10</v>
      </c>
    </row>
    <row r="187" spans="12:19" x14ac:dyDescent="0.3">
      <c r="L187" s="5">
        <v>45848</v>
      </c>
      <c r="M187" s="1">
        <v>1</v>
      </c>
      <c r="O187" s="5">
        <v>45848</v>
      </c>
      <c r="P187" s="1">
        <v>43</v>
      </c>
      <c r="R187" s="5">
        <v>45848</v>
      </c>
      <c r="S187" s="1">
        <v>4</v>
      </c>
    </row>
    <row r="188" spans="12:19" x14ac:dyDescent="0.3">
      <c r="L188" s="5">
        <v>45849</v>
      </c>
      <c r="M188" s="1">
        <v>1</v>
      </c>
      <c r="O188" s="5">
        <v>45849</v>
      </c>
      <c r="P188" s="1">
        <v>27</v>
      </c>
      <c r="R188" s="5">
        <v>45849</v>
      </c>
      <c r="S188" s="1">
        <v>2</v>
      </c>
    </row>
    <row r="189" spans="12:19" x14ac:dyDescent="0.3">
      <c r="L189" s="5">
        <v>45850</v>
      </c>
      <c r="M189" s="1">
        <v>1</v>
      </c>
      <c r="O189" s="5">
        <v>45850</v>
      </c>
      <c r="P189" s="1">
        <v>30</v>
      </c>
      <c r="R189" s="5">
        <v>45850</v>
      </c>
      <c r="S189" s="1">
        <v>9</v>
      </c>
    </row>
    <row r="190" spans="12:19" x14ac:dyDescent="0.3">
      <c r="L190" s="5">
        <v>45853</v>
      </c>
      <c r="M190" s="1">
        <v>1</v>
      </c>
      <c r="O190" s="5">
        <v>45853</v>
      </c>
      <c r="P190" s="1">
        <v>44</v>
      </c>
      <c r="R190" s="5">
        <v>45853</v>
      </c>
      <c r="S190" s="1">
        <v>10</v>
      </c>
    </row>
    <row r="191" spans="12:19" x14ac:dyDescent="0.3">
      <c r="L191" s="5">
        <v>45854</v>
      </c>
      <c r="M191" s="1">
        <v>1</v>
      </c>
      <c r="O191" s="5">
        <v>45854</v>
      </c>
      <c r="P191" s="1">
        <v>39</v>
      </c>
      <c r="R191" s="5">
        <v>45854</v>
      </c>
      <c r="S191" s="1">
        <v>6</v>
      </c>
    </row>
    <row r="192" spans="12:19" x14ac:dyDescent="0.3">
      <c r="L192" s="5">
        <v>45856</v>
      </c>
      <c r="M192" s="1">
        <v>1</v>
      </c>
      <c r="O192" s="5">
        <v>45856</v>
      </c>
      <c r="P192" s="1">
        <v>59</v>
      </c>
      <c r="R192" s="5">
        <v>45856</v>
      </c>
      <c r="S192" s="1">
        <v>0</v>
      </c>
    </row>
    <row r="193" spans="12:19" x14ac:dyDescent="0.3">
      <c r="L193" s="5">
        <v>45858</v>
      </c>
      <c r="M193" s="1">
        <v>1</v>
      </c>
      <c r="O193" s="5">
        <v>45858</v>
      </c>
      <c r="P193" s="1">
        <v>45</v>
      </c>
      <c r="R193" s="5">
        <v>45858</v>
      </c>
      <c r="S193" s="1">
        <v>0</v>
      </c>
    </row>
    <row r="194" spans="12:19" x14ac:dyDescent="0.3">
      <c r="L194" s="5">
        <v>45860</v>
      </c>
      <c r="M194" s="1">
        <v>1</v>
      </c>
      <c r="O194" s="5">
        <v>45860</v>
      </c>
      <c r="P194" s="1">
        <v>48</v>
      </c>
      <c r="R194" s="5">
        <v>45860</v>
      </c>
      <c r="S194" s="1">
        <v>1</v>
      </c>
    </row>
    <row r="195" spans="12:19" x14ac:dyDescent="0.3">
      <c r="L195" s="5">
        <v>45868</v>
      </c>
      <c r="M195" s="1">
        <v>1</v>
      </c>
      <c r="O195" s="5">
        <v>45868</v>
      </c>
      <c r="P195" s="1">
        <v>21</v>
      </c>
      <c r="R195" s="5">
        <v>45868</v>
      </c>
      <c r="S195" s="1">
        <v>7</v>
      </c>
    </row>
    <row r="196" spans="12:19" x14ac:dyDescent="0.3">
      <c r="L196" s="5">
        <v>45869</v>
      </c>
      <c r="M196" s="1">
        <v>1</v>
      </c>
      <c r="O196" s="5">
        <v>45869</v>
      </c>
      <c r="P196" s="1">
        <v>27</v>
      </c>
      <c r="R196" s="5">
        <v>45869</v>
      </c>
      <c r="S196" s="1">
        <v>3</v>
      </c>
    </row>
    <row r="197" spans="12:19" x14ac:dyDescent="0.3">
      <c r="L197" s="5">
        <v>45875</v>
      </c>
      <c r="M197" s="1">
        <v>1</v>
      </c>
      <c r="O197" s="5">
        <v>45875</v>
      </c>
      <c r="P197" s="1">
        <v>44</v>
      </c>
      <c r="R197" s="5">
        <v>45875</v>
      </c>
      <c r="S197" s="1">
        <v>3</v>
      </c>
    </row>
    <row r="198" spans="12:19" x14ac:dyDescent="0.3">
      <c r="L198" s="5">
        <v>45887</v>
      </c>
      <c r="M198" s="1">
        <v>1</v>
      </c>
      <c r="O198" s="5">
        <v>45887</v>
      </c>
      <c r="P198" s="1">
        <v>18</v>
      </c>
      <c r="R198" s="5">
        <v>45887</v>
      </c>
      <c r="S198" s="1">
        <v>7</v>
      </c>
    </row>
    <row r="199" spans="12:19" x14ac:dyDescent="0.3">
      <c r="L199" s="5">
        <v>45891</v>
      </c>
      <c r="M199" s="1">
        <v>1</v>
      </c>
      <c r="O199" s="5">
        <v>45891</v>
      </c>
      <c r="P199" s="1">
        <v>44</v>
      </c>
      <c r="R199" s="5">
        <v>45891</v>
      </c>
      <c r="S199" s="1">
        <v>6</v>
      </c>
    </row>
    <row r="200" spans="12:19" x14ac:dyDescent="0.3">
      <c r="L200" s="5">
        <v>45902</v>
      </c>
      <c r="M200" s="1">
        <v>1</v>
      </c>
      <c r="O200" s="5">
        <v>45902</v>
      </c>
      <c r="P200" s="1">
        <v>44</v>
      </c>
      <c r="R200" s="5">
        <v>45902</v>
      </c>
      <c r="S200" s="1">
        <v>1</v>
      </c>
    </row>
    <row r="201" spans="12:19" x14ac:dyDescent="0.3">
      <c r="L201" s="5">
        <v>45904</v>
      </c>
      <c r="M201" s="1">
        <v>2</v>
      </c>
      <c r="O201" s="5">
        <v>45904</v>
      </c>
      <c r="P201" s="1">
        <v>26.5</v>
      </c>
      <c r="R201" s="5">
        <v>45904</v>
      </c>
      <c r="S201" s="1">
        <v>5</v>
      </c>
    </row>
    <row r="202" spans="12:19" x14ac:dyDescent="0.3">
      <c r="L202" s="5">
        <v>45906</v>
      </c>
      <c r="M202" s="1">
        <v>1</v>
      </c>
      <c r="O202" s="5">
        <v>45906</v>
      </c>
      <c r="P202" s="1">
        <v>10</v>
      </c>
      <c r="R202" s="5">
        <v>45906</v>
      </c>
      <c r="S202" s="1">
        <v>3</v>
      </c>
    </row>
    <row r="203" spans="12:19" x14ac:dyDescent="0.3">
      <c r="L203" s="5">
        <v>45907</v>
      </c>
      <c r="M203" s="1">
        <v>1</v>
      </c>
      <c r="O203" s="5">
        <v>45907</v>
      </c>
      <c r="P203" s="1">
        <v>39</v>
      </c>
      <c r="R203" s="5">
        <v>45907</v>
      </c>
      <c r="S203" s="1">
        <v>7</v>
      </c>
    </row>
    <row r="204" spans="12:19" x14ac:dyDescent="0.3">
      <c r="L204" s="5">
        <v>45909</v>
      </c>
      <c r="M204" s="1">
        <v>1</v>
      </c>
      <c r="O204" s="5">
        <v>45909</v>
      </c>
      <c r="P204" s="1">
        <v>38</v>
      </c>
      <c r="R204" s="5">
        <v>45909</v>
      </c>
      <c r="S204" s="1">
        <v>4</v>
      </c>
    </row>
    <row r="205" spans="12:19" x14ac:dyDescent="0.3">
      <c r="L205" s="5">
        <v>45910</v>
      </c>
      <c r="M205" s="1">
        <v>2</v>
      </c>
      <c r="O205" s="5">
        <v>45910</v>
      </c>
      <c r="P205" s="1">
        <v>28</v>
      </c>
      <c r="R205" s="5">
        <v>45910</v>
      </c>
      <c r="S205" s="1">
        <v>3</v>
      </c>
    </row>
    <row r="206" spans="12:19" x14ac:dyDescent="0.3">
      <c r="L206" s="5">
        <v>45911</v>
      </c>
      <c r="M206" s="1">
        <v>1</v>
      </c>
      <c r="O206" s="5">
        <v>45911</v>
      </c>
      <c r="P206" s="1">
        <v>30</v>
      </c>
      <c r="R206" s="5">
        <v>45911</v>
      </c>
      <c r="S206" s="1">
        <v>5</v>
      </c>
    </row>
    <row r="207" spans="12:19" x14ac:dyDescent="0.3">
      <c r="L207" s="5">
        <v>45912</v>
      </c>
      <c r="M207" s="1">
        <v>2</v>
      </c>
      <c r="O207" s="5">
        <v>45912</v>
      </c>
      <c r="P207" s="1">
        <v>50.5</v>
      </c>
      <c r="R207" s="5">
        <v>45912</v>
      </c>
      <c r="S207" s="1">
        <v>7.5</v>
      </c>
    </row>
    <row r="208" spans="12:19" x14ac:dyDescent="0.3">
      <c r="L208" s="5">
        <v>45915</v>
      </c>
      <c r="M208" s="1">
        <v>1</v>
      </c>
      <c r="O208" s="5">
        <v>45915</v>
      </c>
      <c r="P208" s="1">
        <v>51</v>
      </c>
      <c r="R208" s="5">
        <v>45915</v>
      </c>
      <c r="S208" s="1">
        <v>6</v>
      </c>
    </row>
    <row r="209" spans="12:19" x14ac:dyDescent="0.3">
      <c r="L209" s="5">
        <v>45916</v>
      </c>
      <c r="M209" s="1">
        <v>1</v>
      </c>
      <c r="O209" s="5">
        <v>45916</v>
      </c>
      <c r="P209" s="1">
        <v>23</v>
      </c>
      <c r="R209" s="5">
        <v>45916</v>
      </c>
      <c r="S209" s="1">
        <v>10</v>
      </c>
    </row>
    <row r="210" spans="12:19" x14ac:dyDescent="0.3">
      <c r="L210" s="5">
        <v>45918</v>
      </c>
      <c r="M210" s="1">
        <v>1</v>
      </c>
      <c r="O210" s="5">
        <v>45918</v>
      </c>
      <c r="P210" s="1">
        <v>23</v>
      </c>
      <c r="R210" s="5">
        <v>45918</v>
      </c>
      <c r="S210" s="1">
        <v>5</v>
      </c>
    </row>
    <row r="211" spans="12:19" x14ac:dyDescent="0.3">
      <c r="L211" s="5">
        <v>45920</v>
      </c>
      <c r="M211" s="1">
        <v>1</v>
      </c>
      <c r="O211" s="5">
        <v>45920</v>
      </c>
      <c r="P211" s="1">
        <v>12</v>
      </c>
      <c r="R211" s="5">
        <v>45920</v>
      </c>
      <c r="S211" s="1">
        <v>2</v>
      </c>
    </row>
    <row r="212" spans="12:19" x14ac:dyDescent="0.3">
      <c r="L212" s="5">
        <v>45922</v>
      </c>
      <c r="M212" s="1">
        <v>1</v>
      </c>
      <c r="O212" s="5">
        <v>45922</v>
      </c>
      <c r="P212" s="1">
        <v>58</v>
      </c>
      <c r="R212" s="5">
        <v>45922</v>
      </c>
      <c r="S212" s="1">
        <v>2</v>
      </c>
    </row>
    <row r="213" spans="12:19" x14ac:dyDescent="0.3">
      <c r="L213" s="5">
        <v>45928</v>
      </c>
      <c r="M213" s="1">
        <v>1</v>
      </c>
      <c r="O213" s="5">
        <v>45928</v>
      </c>
      <c r="P213" s="1">
        <v>44</v>
      </c>
      <c r="R213" s="5">
        <v>45928</v>
      </c>
      <c r="S213" s="1">
        <v>8</v>
      </c>
    </row>
    <row r="214" spans="12:19" x14ac:dyDescent="0.3">
      <c r="L214" s="5">
        <v>45930</v>
      </c>
      <c r="M214" s="1">
        <v>2</v>
      </c>
      <c r="O214" s="5">
        <v>45930</v>
      </c>
      <c r="P214" s="1">
        <v>35.5</v>
      </c>
      <c r="R214" s="5">
        <v>45930</v>
      </c>
      <c r="S214" s="1">
        <v>2</v>
      </c>
    </row>
    <row r="215" spans="12:19" x14ac:dyDescent="0.3">
      <c r="L215" s="5">
        <v>45932</v>
      </c>
      <c r="M215" s="1">
        <v>1</v>
      </c>
      <c r="O215" s="5">
        <v>45932</v>
      </c>
      <c r="P215" s="1">
        <v>47</v>
      </c>
      <c r="R215" s="5">
        <v>45932</v>
      </c>
      <c r="S215" s="1">
        <v>4</v>
      </c>
    </row>
    <row r="216" spans="12:19" x14ac:dyDescent="0.3">
      <c r="L216" s="5">
        <v>45934</v>
      </c>
      <c r="M216" s="1">
        <v>2</v>
      </c>
      <c r="O216" s="5">
        <v>45934</v>
      </c>
      <c r="P216" s="1">
        <v>31.5</v>
      </c>
      <c r="R216" s="5">
        <v>45934</v>
      </c>
      <c r="S216" s="1">
        <v>4</v>
      </c>
    </row>
    <row r="217" spans="12:19" x14ac:dyDescent="0.3">
      <c r="L217" s="5">
        <v>45935</v>
      </c>
      <c r="M217" s="1">
        <v>1</v>
      </c>
      <c r="O217" s="5">
        <v>45935</v>
      </c>
      <c r="P217" s="1">
        <v>13</v>
      </c>
      <c r="R217" s="5">
        <v>45935</v>
      </c>
      <c r="S217" s="1">
        <v>8</v>
      </c>
    </row>
    <row r="218" spans="12:19" x14ac:dyDescent="0.3">
      <c r="L218" s="5">
        <v>45936</v>
      </c>
      <c r="M218" s="1">
        <v>1</v>
      </c>
      <c r="O218" s="5">
        <v>45936</v>
      </c>
      <c r="P218" s="1">
        <v>31</v>
      </c>
      <c r="R218" s="5">
        <v>45936</v>
      </c>
      <c r="S218" s="1">
        <v>7</v>
      </c>
    </row>
    <row r="219" spans="12:19" x14ac:dyDescent="0.3">
      <c r="L219" s="5">
        <v>45937</v>
      </c>
      <c r="M219" s="1">
        <v>1</v>
      </c>
      <c r="O219" s="5">
        <v>45937</v>
      </c>
      <c r="P219" s="1">
        <v>39</v>
      </c>
      <c r="R219" s="5">
        <v>45937</v>
      </c>
      <c r="S219" s="1">
        <v>9</v>
      </c>
    </row>
    <row r="220" spans="12:19" x14ac:dyDescent="0.3">
      <c r="L220" s="5">
        <v>45939</v>
      </c>
      <c r="M220" s="1">
        <v>1</v>
      </c>
      <c r="O220" s="5">
        <v>45939</v>
      </c>
      <c r="P220" s="1">
        <v>26</v>
      </c>
      <c r="R220" s="5">
        <v>45939</v>
      </c>
      <c r="S220" s="1">
        <v>9</v>
      </c>
    </row>
    <row r="221" spans="12:19" x14ac:dyDescent="0.3">
      <c r="L221" s="5">
        <v>45940</v>
      </c>
      <c r="M221" s="1">
        <v>1</v>
      </c>
      <c r="O221" s="5">
        <v>45940</v>
      </c>
      <c r="P221" s="1">
        <v>42</v>
      </c>
      <c r="R221" s="5">
        <v>45940</v>
      </c>
      <c r="S221" s="1">
        <v>4</v>
      </c>
    </row>
    <row r="222" spans="12:19" x14ac:dyDescent="0.3">
      <c r="L222" s="5">
        <v>45941</v>
      </c>
      <c r="M222" s="1">
        <v>1</v>
      </c>
      <c r="O222" s="5">
        <v>45941</v>
      </c>
      <c r="P222" s="1">
        <v>55</v>
      </c>
      <c r="R222" s="5">
        <v>45941</v>
      </c>
      <c r="S222" s="1">
        <v>0</v>
      </c>
    </row>
    <row r="223" spans="12:19" x14ac:dyDescent="0.3">
      <c r="L223" s="5">
        <v>45942</v>
      </c>
      <c r="M223" s="1">
        <v>1</v>
      </c>
      <c r="O223" s="5">
        <v>45942</v>
      </c>
      <c r="P223" s="1">
        <v>10</v>
      </c>
      <c r="R223" s="5">
        <v>45942</v>
      </c>
      <c r="S223" s="1">
        <v>6</v>
      </c>
    </row>
    <row r="224" spans="12:19" x14ac:dyDescent="0.3">
      <c r="L224" s="5">
        <v>45945</v>
      </c>
      <c r="M224" s="1">
        <v>1</v>
      </c>
      <c r="O224" s="5">
        <v>45945</v>
      </c>
      <c r="P224" s="1">
        <v>60</v>
      </c>
      <c r="R224" s="5">
        <v>45945</v>
      </c>
      <c r="S224" s="1">
        <v>5</v>
      </c>
    </row>
    <row r="225" spans="12:19" x14ac:dyDescent="0.3">
      <c r="L225" s="5">
        <v>45946</v>
      </c>
      <c r="M225" s="1">
        <v>1</v>
      </c>
      <c r="O225" s="5">
        <v>45946</v>
      </c>
      <c r="P225" s="1">
        <v>27</v>
      </c>
      <c r="R225" s="5">
        <v>45946</v>
      </c>
      <c r="S225" s="1">
        <v>10</v>
      </c>
    </row>
    <row r="226" spans="12:19" x14ac:dyDescent="0.3">
      <c r="L226" s="5">
        <v>45948</v>
      </c>
      <c r="M226" s="1">
        <v>1</v>
      </c>
      <c r="O226" s="5">
        <v>45948</v>
      </c>
      <c r="P226" s="1">
        <v>52</v>
      </c>
      <c r="R226" s="5">
        <v>45948</v>
      </c>
      <c r="S226" s="1">
        <v>1</v>
      </c>
    </row>
    <row r="227" spans="12:19" x14ac:dyDescent="0.3">
      <c r="L227" s="5">
        <v>45950</v>
      </c>
      <c r="M227" s="1">
        <v>1</v>
      </c>
      <c r="O227" s="5">
        <v>45950</v>
      </c>
      <c r="P227" s="1">
        <v>30</v>
      </c>
      <c r="R227" s="5">
        <v>45950</v>
      </c>
      <c r="S227" s="1">
        <v>7</v>
      </c>
    </row>
    <row r="228" spans="12:19" x14ac:dyDescent="0.3">
      <c r="L228" s="5">
        <v>45952</v>
      </c>
      <c r="M228" s="1">
        <v>1</v>
      </c>
      <c r="O228" s="5">
        <v>45952</v>
      </c>
      <c r="P228" s="1">
        <v>11</v>
      </c>
      <c r="R228" s="5">
        <v>45952</v>
      </c>
      <c r="S228" s="1">
        <v>5</v>
      </c>
    </row>
    <row r="229" spans="12:19" x14ac:dyDescent="0.3">
      <c r="L229" s="5">
        <v>45960</v>
      </c>
      <c r="M229" s="1">
        <v>1</v>
      </c>
      <c r="O229" s="5">
        <v>45960</v>
      </c>
      <c r="P229" s="1">
        <v>36</v>
      </c>
      <c r="R229" s="5">
        <v>45960</v>
      </c>
      <c r="S229" s="1">
        <v>9</v>
      </c>
    </row>
    <row r="230" spans="12:19" x14ac:dyDescent="0.3">
      <c r="L230" s="5">
        <v>45963</v>
      </c>
      <c r="M230" s="1">
        <v>2</v>
      </c>
      <c r="O230" s="5">
        <v>45963</v>
      </c>
      <c r="P230" s="1">
        <v>42.5</v>
      </c>
      <c r="R230" s="5">
        <v>45963</v>
      </c>
      <c r="S230" s="1">
        <v>6.5</v>
      </c>
    </row>
    <row r="231" spans="12:19" x14ac:dyDescent="0.3">
      <c r="L231" s="5">
        <v>45965</v>
      </c>
      <c r="M231" s="1">
        <v>2</v>
      </c>
      <c r="O231" s="5">
        <v>45965</v>
      </c>
      <c r="P231" s="1">
        <v>39</v>
      </c>
      <c r="R231" s="5">
        <v>45965</v>
      </c>
      <c r="S231" s="1">
        <v>4</v>
      </c>
    </row>
    <row r="232" spans="12:19" x14ac:dyDescent="0.3">
      <c r="L232" s="5">
        <v>45967</v>
      </c>
      <c r="M232" s="1">
        <v>2</v>
      </c>
      <c r="O232" s="5">
        <v>45967</v>
      </c>
      <c r="P232" s="1">
        <v>49.5</v>
      </c>
      <c r="R232" s="5">
        <v>45967</v>
      </c>
      <c r="S232" s="1">
        <v>0.5</v>
      </c>
    </row>
    <row r="233" spans="12:19" x14ac:dyDescent="0.3">
      <c r="L233" s="5">
        <v>45968</v>
      </c>
      <c r="M233" s="1">
        <v>2</v>
      </c>
      <c r="O233" s="5">
        <v>45968</v>
      </c>
      <c r="P233" s="1">
        <v>34</v>
      </c>
      <c r="R233" s="5">
        <v>45968</v>
      </c>
      <c r="S233" s="1">
        <v>4</v>
      </c>
    </row>
    <row r="234" spans="12:19" x14ac:dyDescent="0.3">
      <c r="L234" s="5">
        <v>45970</v>
      </c>
      <c r="M234" s="1">
        <v>3</v>
      </c>
      <c r="O234" s="5">
        <v>45970</v>
      </c>
      <c r="P234" s="1">
        <v>26.666666666666668</v>
      </c>
      <c r="R234" s="5">
        <v>45970</v>
      </c>
      <c r="S234" s="1">
        <v>3.6666666666666665</v>
      </c>
    </row>
    <row r="235" spans="12:19" x14ac:dyDescent="0.3">
      <c r="L235" s="5">
        <v>45971</v>
      </c>
      <c r="M235" s="1">
        <v>2</v>
      </c>
      <c r="O235" s="5">
        <v>45971</v>
      </c>
      <c r="P235" s="1">
        <v>40</v>
      </c>
      <c r="R235" s="5">
        <v>45971</v>
      </c>
      <c r="S235" s="1">
        <v>9</v>
      </c>
    </row>
    <row r="236" spans="12:19" x14ac:dyDescent="0.3">
      <c r="L236" s="5">
        <v>45972</v>
      </c>
      <c r="M236" s="1">
        <v>2</v>
      </c>
      <c r="O236" s="5">
        <v>45972</v>
      </c>
      <c r="P236" s="1">
        <v>50</v>
      </c>
      <c r="R236" s="5">
        <v>45972</v>
      </c>
      <c r="S236" s="1">
        <v>2.5</v>
      </c>
    </row>
    <row r="237" spans="12:19" x14ac:dyDescent="0.3">
      <c r="L237" s="5">
        <v>45973</v>
      </c>
      <c r="M237" s="1">
        <v>2</v>
      </c>
      <c r="O237" s="5">
        <v>45973</v>
      </c>
      <c r="P237" s="1">
        <v>37</v>
      </c>
      <c r="R237" s="5">
        <v>45973</v>
      </c>
      <c r="S237" s="1">
        <v>3</v>
      </c>
    </row>
    <row r="238" spans="12:19" x14ac:dyDescent="0.3">
      <c r="L238" s="5">
        <v>45976</v>
      </c>
      <c r="M238" s="1">
        <v>4</v>
      </c>
      <c r="O238" s="5">
        <v>45976</v>
      </c>
      <c r="P238" s="1">
        <v>31</v>
      </c>
      <c r="R238" s="5">
        <v>45976</v>
      </c>
      <c r="S238" s="1">
        <v>7.25</v>
      </c>
    </row>
    <row r="239" spans="12:19" x14ac:dyDescent="0.3">
      <c r="L239" s="5">
        <v>45977</v>
      </c>
      <c r="M239" s="1">
        <v>3</v>
      </c>
      <c r="O239" s="5">
        <v>45977</v>
      </c>
      <c r="P239" s="1">
        <v>36.666666666666664</v>
      </c>
      <c r="R239" s="5">
        <v>45977</v>
      </c>
      <c r="S239" s="1">
        <v>4.666666666666667</v>
      </c>
    </row>
    <row r="240" spans="12:19" x14ac:dyDescent="0.3">
      <c r="L240" s="5">
        <v>45979</v>
      </c>
      <c r="M240" s="1">
        <v>2</v>
      </c>
      <c r="O240" s="5">
        <v>45979</v>
      </c>
      <c r="P240" s="1">
        <v>37.5</v>
      </c>
      <c r="R240" s="5">
        <v>45979</v>
      </c>
      <c r="S240" s="1">
        <v>4</v>
      </c>
    </row>
    <row r="241" spans="12:19" x14ac:dyDescent="0.3">
      <c r="L241" s="5">
        <v>45981</v>
      </c>
      <c r="M241" s="1">
        <v>2</v>
      </c>
      <c r="O241" s="5">
        <v>45981</v>
      </c>
      <c r="P241" s="1">
        <v>42.5</v>
      </c>
      <c r="R241" s="5">
        <v>45981</v>
      </c>
      <c r="S241" s="1">
        <v>3</v>
      </c>
    </row>
    <row r="242" spans="12:19" x14ac:dyDescent="0.3">
      <c r="L242" s="5">
        <v>45982</v>
      </c>
      <c r="M242" s="1">
        <v>1</v>
      </c>
      <c r="O242" s="5">
        <v>45982</v>
      </c>
      <c r="P242" s="1">
        <v>43</v>
      </c>
      <c r="R242" s="5">
        <v>45982</v>
      </c>
      <c r="S242" s="1">
        <v>6</v>
      </c>
    </row>
    <row r="243" spans="12:19" x14ac:dyDescent="0.3">
      <c r="L243" s="5">
        <v>45983</v>
      </c>
      <c r="M243" s="1">
        <v>2</v>
      </c>
      <c r="O243" s="5">
        <v>45983</v>
      </c>
      <c r="P243" s="1">
        <v>34.5</v>
      </c>
      <c r="R243" s="5">
        <v>45983</v>
      </c>
      <c r="S243" s="1">
        <v>7</v>
      </c>
    </row>
    <row r="244" spans="12:19" x14ac:dyDescent="0.3">
      <c r="L244" s="5">
        <v>45986</v>
      </c>
      <c r="M244" s="1">
        <v>1</v>
      </c>
      <c r="O244" s="5">
        <v>45986</v>
      </c>
      <c r="P244" s="1">
        <v>22</v>
      </c>
      <c r="R244" s="5">
        <v>45986</v>
      </c>
      <c r="S244" s="1">
        <v>5</v>
      </c>
    </row>
    <row r="245" spans="12:19" x14ac:dyDescent="0.3">
      <c r="L245" s="5">
        <v>45991</v>
      </c>
      <c r="M245" s="1">
        <v>3</v>
      </c>
      <c r="O245" s="5">
        <v>45991</v>
      </c>
      <c r="P245" s="1">
        <v>43</v>
      </c>
      <c r="R245" s="5">
        <v>45991</v>
      </c>
      <c r="S245" s="1">
        <v>1.3333333333333333</v>
      </c>
    </row>
    <row r="246" spans="12:19" x14ac:dyDescent="0.3">
      <c r="L246" s="3" t="s">
        <v>1</v>
      </c>
      <c r="M246" s="1">
        <v>300</v>
      </c>
      <c r="O246" s="3" t="s">
        <v>1</v>
      </c>
      <c r="P246" s="1">
        <v>34.826666666666668</v>
      </c>
      <c r="R246" s="3" t="s">
        <v>1</v>
      </c>
      <c r="S246" s="1">
        <v>4.7133333333333329</v>
      </c>
    </row>
  </sheetData>
  <pageMargins left="0.7" right="0.7" top="0.75" bottom="0.75" header="0.3" footer="0.3"/>
  <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57AE8-6A7E-4D97-8EB5-D94BB5BF7ACC}">
  <dimension ref="A1:S26"/>
  <sheetViews>
    <sheetView tabSelected="1" zoomScale="95" zoomScaleNormal="95" workbookViewId="0">
      <selection activeCell="T1" sqref="T1"/>
    </sheetView>
  </sheetViews>
  <sheetFormatPr defaultRowHeight="15.6" x14ac:dyDescent="0.3"/>
  <sheetData>
    <row r="1" spans="1:19" x14ac:dyDescent="0.3">
      <c r="A1" s="6"/>
      <c r="B1" s="6"/>
      <c r="C1" s="6"/>
      <c r="D1" s="6"/>
      <c r="E1" s="6"/>
      <c r="F1" s="6"/>
      <c r="G1" s="6"/>
      <c r="H1" s="6"/>
      <c r="I1" s="6"/>
      <c r="J1" s="6"/>
      <c r="K1" s="6"/>
      <c r="L1" s="6"/>
      <c r="M1" s="6"/>
      <c r="N1" s="6"/>
      <c r="O1" s="6"/>
      <c r="P1" s="6"/>
      <c r="Q1" s="6"/>
      <c r="R1" s="6"/>
      <c r="S1" s="6"/>
    </row>
    <row r="2" spans="1:19" x14ac:dyDescent="0.3">
      <c r="A2" s="6"/>
      <c r="B2" s="6"/>
      <c r="C2" s="6"/>
      <c r="D2" s="6"/>
      <c r="E2" s="6"/>
      <c r="F2" s="6"/>
      <c r="G2" s="6"/>
      <c r="H2" s="6"/>
      <c r="I2" s="6"/>
      <c r="J2" s="6"/>
      <c r="K2" s="6"/>
      <c r="L2" s="6"/>
      <c r="M2" s="6"/>
      <c r="N2" s="6"/>
      <c r="O2" s="6"/>
      <c r="P2" s="6"/>
      <c r="Q2" s="6"/>
      <c r="R2" s="6"/>
      <c r="S2" s="6"/>
    </row>
    <row r="3" spans="1:19" x14ac:dyDescent="0.3">
      <c r="A3" s="6"/>
      <c r="B3" s="6"/>
      <c r="C3" s="6"/>
      <c r="D3" s="6"/>
      <c r="E3" s="6"/>
      <c r="F3" s="6"/>
      <c r="G3" s="6"/>
      <c r="H3" s="6"/>
      <c r="I3" s="6"/>
      <c r="J3" s="6"/>
      <c r="K3" s="6"/>
      <c r="L3" s="6"/>
      <c r="M3" s="6"/>
      <c r="N3" s="6"/>
      <c r="O3" s="6"/>
      <c r="P3" s="6"/>
      <c r="Q3" s="6"/>
      <c r="R3" s="6"/>
      <c r="S3" s="6"/>
    </row>
    <row r="4" spans="1:19" x14ac:dyDescent="0.3">
      <c r="A4" s="6"/>
      <c r="B4" s="6"/>
      <c r="C4" s="6"/>
      <c r="D4" s="6"/>
      <c r="E4" s="6"/>
      <c r="F4" s="6"/>
      <c r="G4" s="6"/>
      <c r="H4" s="6"/>
      <c r="I4" s="6"/>
      <c r="J4" s="6"/>
      <c r="K4" s="6"/>
      <c r="L4" s="6"/>
      <c r="M4" s="6"/>
      <c r="N4" s="6"/>
      <c r="O4" s="6"/>
      <c r="P4" s="6"/>
      <c r="Q4" s="6"/>
      <c r="R4" s="6"/>
      <c r="S4" s="6"/>
    </row>
    <row r="5" spans="1:19" x14ac:dyDescent="0.3">
      <c r="A5" s="6"/>
      <c r="B5" s="6"/>
      <c r="C5" s="6"/>
      <c r="D5" s="6"/>
      <c r="E5" s="6"/>
      <c r="F5" s="6"/>
      <c r="G5" s="6"/>
      <c r="H5" s="6"/>
      <c r="I5" s="6"/>
      <c r="J5" s="6"/>
      <c r="K5" s="6"/>
      <c r="L5" s="6"/>
      <c r="M5" s="6"/>
      <c r="N5" s="6"/>
      <c r="O5" s="6"/>
      <c r="P5" s="6"/>
      <c r="Q5" s="6"/>
      <c r="R5" s="6"/>
      <c r="S5" s="6"/>
    </row>
    <row r="6" spans="1:19" x14ac:dyDescent="0.3">
      <c r="A6" s="6"/>
      <c r="B6" s="6"/>
      <c r="C6" s="6"/>
      <c r="D6" s="6"/>
      <c r="E6" s="6"/>
      <c r="F6" s="6"/>
      <c r="G6" s="6"/>
      <c r="H6" s="6"/>
      <c r="I6" s="6"/>
      <c r="J6" s="6"/>
      <c r="K6" s="6"/>
      <c r="L6" s="6"/>
      <c r="M6" s="6"/>
      <c r="N6" s="6"/>
      <c r="O6" s="6"/>
      <c r="P6" s="6"/>
      <c r="Q6" s="6"/>
      <c r="R6" s="6"/>
      <c r="S6" s="6"/>
    </row>
    <row r="7" spans="1:19" x14ac:dyDescent="0.3">
      <c r="A7" s="6"/>
      <c r="B7" s="6"/>
      <c r="C7" s="6"/>
      <c r="D7" s="6"/>
      <c r="E7" s="6"/>
      <c r="F7" s="6"/>
      <c r="G7" s="6"/>
      <c r="H7" s="6"/>
      <c r="I7" s="6"/>
      <c r="J7" s="6"/>
      <c r="K7" s="6"/>
      <c r="L7" s="6"/>
      <c r="M7" s="6"/>
      <c r="N7" s="6"/>
      <c r="O7" s="6"/>
      <c r="P7" s="6"/>
      <c r="Q7" s="6"/>
      <c r="R7" s="6"/>
      <c r="S7" s="6"/>
    </row>
    <row r="8" spans="1:19" x14ac:dyDescent="0.3">
      <c r="A8" s="6"/>
      <c r="B8" s="6"/>
      <c r="C8" s="6"/>
      <c r="D8" s="6"/>
      <c r="E8" s="6"/>
      <c r="F8" s="6"/>
      <c r="G8" s="6"/>
      <c r="H8" s="6"/>
      <c r="I8" s="6"/>
      <c r="J8" s="6"/>
      <c r="K8" s="6"/>
      <c r="L8" s="6"/>
      <c r="M8" s="6"/>
      <c r="N8" s="6"/>
      <c r="O8" s="6"/>
      <c r="P8" s="6"/>
      <c r="Q8" s="6"/>
      <c r="R8" s="6"/>
      <c r="S8" s="6"/>
    </row>
    <row r="9" spans="1:19" x14ac:dyDescent="0.3">
      <c r="A9" s="6"/>
      <c r="B9" s="6"/>
      <c r="C9" s="6"/>
      <c r="D9" s="6"/>
      <c r="E9" s="6"/>
      <c r="F9" s="6"/>
      <c r="G9" s="6"/>
      <c r="H9" s="6"/>
      <c r="I9" s="6"/>
      <c r="J9" s="6"/>
      <c r="K9" s="6"/>
      <c r="L9" s="6"/>
      <c r="M9" s="6"/>
      <c r="N9" s="6"/>
      <c r="O9" s="6"/>
      <c r="P9" s="6"/>
      <c r="Q9" s="6"/>
      <c r="R9" s="6"/>
      <c r="S9" s="6"/>
    </row>
    <row r="10" spans="1:19" x14ac:dyDescent="0.3">
      <c r="A10" s="6"/>
      <c r="B10" s="6"/>
      <c r="C10" s="6"/>
      <c r="D10" s="6"/>
      <c r="E10" s="6"/>
      <c r="F10" s="6"/>
      <c r="G10" s="6"/>
      <c r="H10" s="6"/>
      <c r="I10" s="6"/>
      <c r="J10" s="6"/>
      <c r="K10" s="6"/>
      <c r="L10" s="6"/>
      <c r="M10" s="6"/>
      <c r="N10" s="6"/>
      <c r="O10" s="6"/>
      <c r="P10" s="6"/>
      <c r="Q10" s="6"/>
      <c r="R10" s="6"/>
      <c r="S10" s="6"/>
    </row>
    <row r="11" spans="1:19" x14ac:dyDescent="0.3">
      <c r="A11" s="6"/>
      <c r="B11" s="6"/>
      <c r="C11" s="6"/>
      <c r="D11" s="6"/>
      <c r="E11" s="6"/>
      <c r="F11" s="6"/>
      <c r="G11" s="6"/>
      <c r="H11" s="6"/>
      <c r="I11" s="6"/>
      <c r="J11" s="6"/>
      <c r="K11" s="6"/>
      <c r="L11" s="6"/>
      <c r="M11" s="6"/>
      <c r="N11" s="6"/>
      <c r="O11" s="6"/>
      <c r="P11" s="6"/>
      <c r="Q11" s="6"/>
      <c r="R11" s="6"/>
      <c r="S11" s="6"/>
    </row>
    <row r="12" spans="1:19" x14ac:dyDescent="0.3">
      <c r="A12" s="6"/>
      <c r="B12" s="6"/>
      <c r="C12" s="6"/>
      <c r="D12" s="6"/>
      <c r="E12" s="6"/>
      <c r="F12" s="6"/>
      <c r="G12" s="6"/>
      <c r="H12" s="6"/>
      <c r="I12" s="6"/>
      <c r="J12" s="6"/>
      <c r="K12" s="6"/>
      <c r="L12" s="6"/>
      <c r="M12" s="6"/>
      <c r="N12" s="6"/>
      <c r="O12" s="6"/>
      <c r="P12" s="6"/>
      <c r="Q12" s="6"/>
      <c r="R12" s="6"/>
      <c r="S12" s="6"/>
    </row>
    <row r="13" spans="1:19" x14ac:dyDescent="0.3">
      <c r="A13" s="6"/>
      <c r="B13" s="6"/>
      <c r="C13" s="6"/>
      <c r="D13" s="6"/>
      <c r="E13" s="6"/>
      <c r="F13" s="6"/>
      <c r="G13" s="6"/>
      <c r="H13" s="6"/>
      <c r="I13" s="6"/>
      <c r="J13" s="6"/>
      <c r="K13" s="6"/>
      <c r="L13" s="6"/>
      <c r="M13" s="6"/>
      <c r="N13" s="6"/>
      <c r="O13" s="6"/>
      <c r="P13" s="6"/>
      <c r="Q13" s="6"/>
      <c r="R13" s="6"/>
      <c r="S13" s="6"/>
    </row>
    <row r="14" spans="1:19" x14ac:dyDescent="0.3">
      <c r="A14" s="6"/>
      <c r="B14" s="6"/>
      <c r="C14" s="6"/>
      <c r="D14" s="6"/>
      <c r="E14" s="6"/>
      <c r="F14" s="6"/>
      <c r="G14" s="6"/>
      <c r="H14" s="6"/>
      <c r="I14" s="6"/>
      <c r="J14" s="6"/>
      <c r="K14" s="6"/>
      <c r="L14" s="6"/>
      <c r="M14" s="6"/>
      <c r="N14" s="6"/>
      <c r="O14" s="6"/>
      <c r="P14" s="6"/>
      <c r="Q14" s="6"/>
      <c r="R14" s="6"/>
      <c r="S14" s="6"/>
    </row>
    <row r="15" spans="1:19" x14ac:dyDescent="0.3">
      <c r="A15" s="6"/>
      <c r="B15" s="6"/>
      <c r="C15" s="6"/>
      <c r="D15" s="6"/>
      <c r="E15" s="6"/>
      <c r="F15" s="6"/>
      <c r="G15" s="6"/>
      <c r="H15" s="6"/>
      <c r="I15" s="6"/>
      <c r="J15" s="6"/>
      <c r="K15" s="6"/>
      <c r="L15" s="6"/>
      <c r="M15" s="6"/>
      <c r="N15" s="6"/>
      <c r="O15" s="6"/>
      <c r="P15" s="6"/>
      <c r="Q15" s="6"/>
      <c r="R15" s="6"/>
      <c r="S15" s="6"/>
    </row>
    <row r="16" spans="1:19" x14ac:dyDescent="0.3">
      <c r="A16" s="6"/>
      <c r="B16" s="6"/>
      <c r="C16" s="6"/>
      <c r="D16" s="6"/>
      <c r="E16" s="6"/>
      <c r="F16" s="6"/>
      <c r="G16" s="6"/>
      <c r="H16" s="6"/>
      <c r="I16" s="6"/>
      <c r="J16" s="6"/>
      <c r="K16" s="6"/>
      <c r="L16" s="6"/>
      <c r="M16" s="6"/>
      <c r="N16" s="6"/>
      <c r="O16" s="6"/>
      <c r="P16" s="6"/>
      <c r="Q16" s="6"/>
      <c r="R16" s="6"/>
      <c r="S16" s="6"/>
    </row>
    <row r="17" spans="1:19" x14ac:dyDescent="0.3">
      <c r="A17" s="6"/>
      <c r="B17" s="6"/>
      <c r="C17" s="6"/>
      <c r="D17" s="6"/>
      <c r="E17" s="6"/>
      <c r="F17" s="6"/>
      <c r="G17" s="6"/>
      <c r="H17" s="6"/>
      <c r="I17" s="6"/>
      <c r="J17" s="6"/>
      <c r="K17" s="6"/>
      <c r="L17" s="6"/>
      <c r="M17" s="6"/>
      <c r="N17" s="6"/>
      <c r="O17" s="6"/>
      <c r="P17" s="6"/>
      <c r="Q17" s="6"/>
      <c r="R17" s="6"/>
      <c r="S17" s="6"/>
    </row>
    <row r="18" spans="1:19" x14ac:dyDescent="0.3">
      <c r="A18" s="6"/>
      <c r="B18" s="6"/>
      <c r="C18" s="6"/>
      <c r="D18" s="6"/>
      <c r="E18" s="6"/>
      <c r="F18" s="6"/>
      <c r="G18" s="6"/>
      <c r="H18" s="6"/>
      <c r="I18" s="6"/>
      <c r="J18" s="6"/>
      <c r="K18" s="6"/>
      <c r="L18" s="6"/>
      <c r="M18" s="6"/>
      <c r="N18" s="6"/>
      <c r="O18" s="6"/>
      <c r="P18" s="6"/>
      <c r="Q18" s="6"/>
      <c r="R18" s="6"/>
      <c r="S18" s="6"/>
    </row>
    <row r="19" spans="1:19" x14ac:dyDescent="0.3">
      <c r="A19" s="6"/>
      <c r="B19" s="6"/>
      <c r="C19" s="6"/>
      <c r="D19" s="6"/>
      <c r="E19" s="6"/>
      <c r="F19" s="6"/>
      <c r="G19" s="6"/>
      <c r="H19" s="6"/>
      <c r="I19" s="6"/>
      <c r="J19" s="6"/>
      <c r="K19" s="6"/>
      <c r="L19" s="6"/>
      <c r="M19" s="6"/>
      <c r="N19" s="6"/>
      <c r="O19" s="6"/>
      <c r="P19" s="6"/>
      <c r="Q19" s="6"/>
      <c r="R19" s="6"/>
      <c r="S19" s="6"/>
    </row>
    <row r="20" spans="1:19" x14ac:dyDescent="0.3">
      <c r="A20" s="6"/>
      <c r="B20" s="6"/>
      <c r="C20" s="6"/>
      <c r="D20" s="6"/>
      <c r="E20" s="6"/>
      <c r="F20" s="6"/>
      <c r="G20" s="6"/>
      <c r="H20" s="6"/>
      <c r="I20" s="6"/>
      <c r="J20" s="6"/>
      <c r="K20" s="6"/>
      <c r="L20" s="6"/>
      <c r="M20" s="6"/>
      <c r="N20" s="6"/>
      <c r="O20" s="6"/>
      <c r="P20" s="6"/>
      <c r="Q20" s="6"/>
      <c r="R20" s="6"/>
      <c r="S20" s="6"/>
    </row>
    <row r="21" spans="1:19" x14ac:dyDescent="0.3">
      <c r="A21" s="6"/>
      <c r="B21" s="6"/>
      <c r="C21" s="6"/>
      <c r="D21" s="6"/>
      <c r="E21" s="6"/>
      <c r="F21" s="6"/>
      <c r="G21" s="6"/>
      <c r="H21" s="6"/>
      <c r="I21" s="6"/>
      <c r="J21" s="6"/>
      <c r="K21" s="6"/>
      <c r="L21" s="6"/>
      <c r="M21" s="6"/>
      <c r="N21" s="6"/>
      <c r="O21" s="6"/>
      <c r="P21" s="6"/>
      <c r="Q21" s="6"/>
      <c r="R21" s="6"/>
      <c r="S21" s="6"/>
    </row>
    <row r="22" spans="1:19" x14ac:dyDescent="0.3">
      <c r="A22" s="6"/>
      <c r="B22" s="6"/>
      <c r="C22" s="6"/>
      <c r="D22" s="6"/>
      <c r="E22" s="6"/>
      <c r="F22" s="6"/>
      <c r="G22" s="6"/>
      <c r="H22" s="6"/>
      <c r="I22" s="6"/>
      <c r="J22" s="6"/>
      <c r="K22" s="6"/>
      <c r="L22" s="6"/>
      <c r="M22" s="6"/>
      <c r="N22" s="6"/>
      <c r="O22" s="6"/>
      <c r="P22" s="6"/>
      <c r="Q22" s="6"/>
      <c r="R22" s="6"/>
      <c r="S22" s="6"/>
    </row>
    <row r="23" spans="1:19" x14ac:dyDescent="0.3">
      <c r="A23" s="6"/>
      <c r="B23" s="6"/>
      <c r="C23" s="6"/>
      <c r="D23" s="6"/>
      <c r="E23" s="6"/>
      <c r="F23" s="6"/>
      <c r="G23" s="6"/>
      <c r="H23" s="6"/>
      <c r="I23" s="6"/>
      <c r="J23" s="6"/>
      <c r="K23" s="6"/>
      <c r="L23" s="6"/>
      <c r="M23" s="6"/>
      <c r="N23" s="6"/>
      <c r="O23" s="6"/>
      <c r="P23" s="6"/>
      <c r="Q23" s="6"/>
      <c r="R23" s="6"/>
      <c r="S23" s="6"/>
    </row>
    <row r="24" spans="1:19" x14ac:dyDescent="0.3">
      <c r="A24" s="6"/>
      <c r="B24" s="6"/>
      <c r="C24" s="6"/>
      <c r="D24" s="6"/>
      <c r="E24" s="6"/>
      <c r="F24" s="6"/>
      <c r="G24" s="6"/>
      <c r="H24" s="6"/>
      <c r="I24" s="6"/>
      <c r="J24" s="6"/>
      <c r="K24" s="6"/>
      <c r="L24" s="6"/>
      <c r="M24" s="6"/>
      <c r="N24" s="6"/>
      <c r="O24" s="6"/>
      <c r="P24" s="6"/>
      <c r="Q24" s="6"/>
      <c r="R24" s="6"/>
      <c r="S24" s="6"/>
    </row>
    <row r="25" spans="1:19" x14ac:dyDescent="0.3">
      <c r="A25" s="6"/>
      <c r="B25" s="6"/>
      <c r="C25" s="6"/>
      <c r="D25" s="6"/>
      <c r="E25" s="6"/>
      <c r="F25" s="6"/>
      <c r="G25" s="6"/>
      <c r="H25" s="6"/>
      <c r="I25" s="6"/>
      <c r="J25" s="6"/>
      <c r="K25" s="6"/>
      <c r="L25" s="6"/>
      <c r="M25" s="6"/>
      <c r="N25" s="6"/>
      <c r="O25" s="6"/>
      <c r="P25" s="6"/>
      <c r="Q25" s="6"/>
      <c r="R25" s="6"/>
      <c r="S25" s="6"/>
    </row>
    <row r="26" spans="1:19" x14ac:dyDescent="0.3">
      <c r="A26" s="14"/>
      <c r="B26" s="14"/>
      <c r="C26" s="14"/>
      <c r="D26" s="14"/>
      <c r="E26" s="14"/>
      <c r="F26" s="14"/>
      <c r="G26" s="14"/>
      <c r="H26" s="14"/>
      <c r="I26" s="14"/>
      <c r="J26" s="14"/>
      <c r="K26" s="14"/>
      <c r="L26" s="14"/>
      <c r="M26" s="14"/>
      <c r="N26" s="14"/>
      <c r="O26" s="14"/>
      <c r="P26" s="14"/>
      <c r="Q26" s="14"/>
      <c r="R26" s="14"/>
      <c r="S26" s="14"/>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B13CEB5A-7B32-43B2-A54C-EC015FA2E72E}">
  <ds:schemaRefs/>
</ds:datastoreItem>
</file>

<file path=customXml/itemProps2.xml><?xml version="1.0" encoding="utf-8"?>
<ds:datastoreItem xmlns:ds="http://schemas.openxmlformats.org/officeDocument/2006/customXml" ds:itemID="{D675B416-AAC1-4519-A187-B76C4F0D4666}">
  <ds:schemaRefs/>
</ds:datastoreItem>
</file>

<file path=customXml/itemProps3.xml><?xml version="1.0" encoding="utf-8"?>
<ds:datastoreItem xmlns:ds="http://schemas.openxmlformats.org/officeDocument/2006/customXml" ds:itemID="{E4AC210C-3A00-4EEC-991F-A2EFD18DDA9D}">
  <ds:schemaRefs/>
</ds:datastoreItem>
</file>

<file path=customXml/itemProps4.xml><?xml version="1.0" encoding="utf-8"?>
<ds:datastoreItem xmlns:ds="http://schemas.openxmlformats.org/officeDocument/2006/customXml" ds:itemID="{A9516983-B663-4C31-9746-90CEF1083126}">
  <ds:schemaRefs/>
</ds:datastoreItem>
</file>

<file path=customXml/itemProps5.xml><?xml version="1.0" encoding="utf-8"?>
<ds:datastoreItem xmlns:ds="http://schemas.openxmlformats.org/officeDocument/2006/customXml" ds:itemID="{F79C6052-9D9B-464C-8022-93390D7BF2E5}">
  <ds:schemaRefs/>
</ds:datastoreItem>
</file>

<file path=customXml/itemProps6.xml><?xml version="1.0" encoding="utf-8"?>
<ds:datastoreItem xmlns:ds="http://schemas.openxmlformats.org/officeDocument/2006/customXml" ds:itemID="{3D13D49A-703E-4803-AC03-5C7C55E45FA0}">
  <ds:schemaRefs/>
</ds:datastoreItem>
</file>

<file path=customXml/itemProps7.xml><?xml version="1.0" encoding="utf-8"?>
<ds:datastoreItem xmlns:ds="http://schemas.openxmlformats.org/officeDocument/2006/customXml" ds:itemID="{11232C9B-D065-4C95-A154-32F44CA01DA2}">
  <ds:schemaRefs/>
</ds:datastoreItem>
</file>

<file path=customXml/itemProps8.xml><?xml version="1.0" encoding="utf-8"?>
<ds:datastoreItem xmlns:ds="http://schemas.openxmlformats.org/officeDocument/2006/customXml" ds:itemID="{11486722-9552-4370-BC11-92F840A76457}">
  <ds:schemaRefs/>
</ds:datastoreItem>
</file>

<file path=customXml/itemProps9.xml><?xml version="1.0" encoding="utf-8"?>
<ds:datastoreItem xmlns:ds="http://schemas.openxmlformats.org/officeDocument/2006/customXml" ds:itemID="{EB3D73D4-7F2C-47A1-9C4D-AE3C19FEC529}">
  <ds:schemaRefs/>
</ds:datastoreItem>
</file>

<file path=customXml/itemProps10.xml><?xml version="1.0" encoding="utf-8"?>
<ds:datastoreItem xmlns:ds="http://schemas.openxmlformats.org/officeDocument/2006/customXml" ds:itemID="{440AB5D8-5524-4B68-9249-4BCD6106EB8C}">
  <ds:schemaRefs/>
</ds:datastoreItem>
</file>

<file path=customXml/itemProps11.xml><?xml version="1.0" encoding="utf-8"?>
<ds:datastoreItem xmlns:ds="http://schemas.openxmlformats.org/officeDocument/2006/customXml" ds:itemID="{19161D9C-C089-4CF8-B9AF-064F63659C34}">
  <ds:schemaRefs/>
</ds:datastoreItem>
</file>

<file path=customXml/itemProps12.xml><?xml version="1.0" encoding="utf-8"?>
<ds:datastoreItem xmlns:ds="http://schemas.openxmlformats.org/officeDocument/2006/customXml" ds:itemID="{A3B15DEE-C7E7-453C-850F-C5561662320C}">
  <ds:schemaRefs/>
</ds:datastoreItem>
</file>

<file path=customXml/itemProps13.xml><?xml version="1.0" encoding="utf-8"?>
<ds:datastoreItem xmlns:ds="http://schemas.openxmlformats.org/officeDocument/2006/customXml" ds:itemID="{DF067E79-EBA7-40F6-A789-C59FD90A8D03}">
  <ds:schemaRefs/>
</ds:datastoreItem>
</file>

<file path=customXml/itemProps14.xml><?xml version="1.0" encoding="utf-8"?>
<ds:datastoreItem xmlns:ds="http://schemas.openxmlformats.org/officeDocument/2006/customXml" ds:itemID="{06CD46D4-F96E-409A-99DA-4A17D6DFEA5E}">
  <ds:schemaRefs/>
</ds:datastoreItem>
</file>

<file path=customXml/itemProps15.xml><?xml version="1.0" encoding="utf-8"?>
<ds:datastoreItem xmlns:ds="http://schemas.openxmlformats.org/officeDocument/2006/customXml" ds:itemID="{07752368-9D38-4B25-86E1-D6D60DDFD6D7}">
  <ds:schemaRefs/>
</ds:datastoreItem>
</file>

<file path=customXml/itemProps16.xml><?xml version="1.0" encoding="utf-8"?>
<ds:datastoreItem xmlns:ds="http://schemas.openxmlformats.org/officeDocument/2006/customXml" ds:itemID="{73DF265B-FEDE-4B29-89A2-5ECA2A637681}">
  <ds:schemaRefs/>
</ds:datastoreItem>
</file>

<file path=customXml/itemProps17.xml><?xml version="1.0" encoding="utf-8"?>
<ds:datastoreItem xmlns:ds="http://schemas.openxmlformats.org/officeDocument/2006/customXml" ds:itemID="{D338276B-012D-4C08-BDBB-98929429947C}">
  <ds:schemaRefs/>
</ds:datastoreItem>
</file>

<file path=customXml/itemProps18.xml><?xml version="1.0" encoding="utf-8"?>
<ds:datastoreItem xmlns:ds="http://schemas.openxmlformats.org/officeDocument/2006/customXml" ds:itemID="{2EC47CFC-3688-4BD5-846B-A5AE8B8F6F7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PRIYANSHU CHAURASIYA</dc:creator>
  <cp:lastModifiedBy>PRIYANSHU CHAURASIYA</cp:lastModifiedBy>
  <dcterms:created xsi:type="dcterms:W3CDTF">2026-07-11T14:09:25Z</dcterms:created>
  <dcterms:modified xsi:type="dcterms:W3CDTF">2026-09-18T14:32:20Z</dcterms:modified>
</cp:coreProperties>
</file>